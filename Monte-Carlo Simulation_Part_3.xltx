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mmanuel-Ogunjirin/Box Sync/Emmanuel Ogunjirin's Files/University of Virginia/Academics/Semester 5 - 2020 Fall/Probability 3100-004/Projects/"/>
    </mc:Choice>
  </mc:AlternateContent>
  <xr:revisionPtr revIDLastSave="0" documentId="13_ncr:40009_{741552B5-614C-904A-BE61-AF4CBA90A2EE}" xr6:coauthVersionLast="45" xr6:coauthVersionMax="45" xr10:uidLastSave="{00000000-0000-0000-0000-000000000000}"/>
  <bookViews>
    <workbookView xWindow="31180" yWindow="1920" windowWidth="29420" windowHeight="18000"/>
  </bookViews>
  <sheets>
    <sheet name="Monte-Carlo Simulation" sheetId="1" r:id="rId1"/>
  </sheets>
  <definedNames>
    <definedName name="_xlchart.v1.0" hidden="1">'Monte-Carlo Simulation'!$N$16:$N$38</definedName>
    <definedName name="_xlchart.v1.1" hidden="1">'Monte-Carlo Simulation'!$P$16:$P$38</definedName>
  </definedNames>
  <calcPr calcId="191029"/>
</workbook>
</file>

<file path=xl/calcChain.xml><?xml version="1.0" encoding="utf-8"?>
<calcChain xmlns="http://schemas.openxmlformats.org/spreadsheetml/2006/main">
  <c r="E17" i="1" l="1"/>
  <c r="M10" i="1"/>
  <c r="L10" i="1"/>
  <c r="O22" i="1"/>
  <c r="P22" i="1" s="1"/>
  <c r="P21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O24" i="1"/>
  <c r="O23" i="1"/>
  <c r="O21" i="1"/>
  <c r="M4" i="1"/>
  <c r="M9" i="1"/>
  <c r="L9" i="1"/>
  <c r="L8" i="1"/>
  <c r="M8" i="1" s="1"/>
  <c r="M7" i="1"/>
  <c r="L7" i="1"/>
  <c r="M6" i="1"/>
  <c r="M5" i="1"/>
  <c r="L6" i="1"/>
  <c r="L5" i="1"/>
  <c r="L4" i="1"/>
  <c r="G5" i="1"/>
  <c r="G4" i="1"/>
  <c r="G3" i="1"/>
  <c r="G2" i="1"/>
</calcChain>
</file>

<file path=xl/sharedStrings.xml><?xml version="1.0" encoding="utf-8"?>
<sst xmlns="http://schemas.openxmlformats.org/spreadsheetml/2006/main" count="9" uniqueCount="9">
  <si>
    <t>Mean</t>
  </si>
  <si>
    <t>First Quartile</t>
  </si>
  <si>
    <t xml:space="preserve">Median </t>
  </si>
  <si>
    <t>Third Quartile</t>
  </si>
  <si>
    <t>Range</t>
  </si>
  <si>
    <t>From</t>
  </si>
  <si>
    <t>To</t>
  </si>
  <si>
    <t>Count</t>
  </si>
  <si>
    <t>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</si>
</sst>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Cumulative Distribution Function</a:t>
            </a:r>
          </a:p>
        </c:rich>
      </c:tx>
      <c:layout>
        <c:manualLayout>
          <c:xMode val="edge"/>
          <c:yMode val="edge"/>
          <c:x val="0.3067887096360512"/>
          <c:y val="1.40515222482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'Monte-Carlo Simulation'!$N$21:$N$38</c:f>
              <c:numCache>
                <c:formatCode>General</c:formatCode>
                <c:ptCount val="18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</c:numCache>
            </c:numRef>
          </c:xVal>
          <c:yVal>
            <c:numRef>
              <c:f>'Monte-Carlo Simulation'!$P$21:$P$38</c:f>
              <c:numCache>
                <c:formatCode>General</c:formatCode>
                <c:ptCount val="18"/>
                <c:pt idx="0">
                  <c:v>0</c:v>
                </c:pt>
                <c:pt idx="1">
                  <c:v>4.3999999999999997E-2</c:v>
                </c:pt>
                <c:pt idx="2">
                  <c:v>7.8E-2</c:v>
                </c:pt>
                <c:pt idx="3">
                  <c:v>0.10199999999999999</c:v>
                </c:pt>
                <c:pt idx="4">
                  <c:v>0.13400000000000001</c:v>
                </c:pt>
                <c:pt idx="5">
                  <c:v>0.28199999999999997</c:v>
                </c:pt>
                <c:pt idx="6">
                  <c:v>0.39400000000000002</c:v>
                </c:pt>
                <c:pt idx="7">
                  <c:v>0.52</c:v>
                </c:pt>
                <c:pt idx="8">
                  <c:v>0.57599999999999996</c:v>
                </c:pt>
                <c:pt idx="9">
                  <c:v>0.68</c:v>
                </c:pt>
                <c:pt idx="10">
                  <c:v>0.75</c:v>
                </c:pt>
                <c:pt idx="11">
                  <c:v>0.79</c:v>
                </c:pt>
                <c:pt idx="12">
                  <c:v>0.83</c:v>
                </c:pt>
                <c:pt idx="13">
                  <c:v>0.90200000000000002</c:v>
                </c:pt>
                <c:pt idx="14">
                  <c:v>0.92200000000000004</c:v>
                </c:pt>
                <c:pt idx="15">
                  <c:v>0.97599999999999998</c:v>
                </c:pt>
                <c:pt idx="16">
                  <c:v>0.98199999999999998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5-084F-91B9-7E7DFBA62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33680"/>
        <c:axId val="299090336"/>
      </c:scatterChart>
      <c:valAx>
        <c:axId val="29973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090336"/>
        <c:crosses val="autoZero"/>
        <c:crossBetween val="midCat"/>
      </c:valAx>
      <c:valAx>
        <c:axId val="29909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3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152400</xdr:rowOff>
    </xdr:from>
    <xdr:to>
      <xdr:col>16</xdr:col>
      <xdr:colOff>368300</xdr:colOff>
      <xdr:row>39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A72A3A-C288-1246-8CBC-799C49629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00"/>
  <sheetViews>
    <sheetView tabSelected="1" workbookViewId="0">
      <selection activeCell="E16" sqref="E16"/>
    </sheetView>
  </sheetViews>
  <sheetFormatPr baseColWidth="10" defaultRowHeight="16" x14ac:dyDescent="0.2"/>
  <cols>
    <col min="6" max="6" width="13" customWidth="1"/>
  </cols>
  <sheetData>
    <row r="1" spans="1:13" x14ac:dyDescent="0.2">
      <c r="A1">
        <v>0.74261474609375</v>
      </c>
      <c r="B1">
        <v>16.286175289111998</v>
      </c>
      <c r="C1">
        <v>22.286175289111998</v>
      </c>
    </row>
    <row r="2" spans="1:13" x14ac:dyDescent="0.2">
      <c r="A2">
        <v>0.608154296875</v>
      </c>
      <c r="B2">
        <v>5.2912556450889801</v>
      </c>
      <c r="C2">
        <v>75.291255645088896</v>
      </c>
      <c r="F2" t="s">
        <v>0</v>
      </c>
      <c r="G2">
        <f>AVERAGE(C:C)</f>
        <v>40.56200990874185</v>
      </c>
      <c r="J2" s="1" t="s">
        <v>4</v>
      </c>
      <c r="K2" s="1"/>
      <c r="L2" s="1"/>
    </row>
    <row r="3" spans="1:13" x14ac:dyDescent="0.2">
      <c r="A3">
        <v>0.52899169921875</v>
      </c>
      <c r="B3">
        <v>4.5571999894464703</v>
      </c>
      <c r="C3">
        <v>10.557199989446399</v>
      </c>
      <c r="F3" t="s">
        <v>1</v>
      </c>
      <c r="G3">
        <f xml:space="preserve"> QUARTILE(C:C,1)</f>
        <v>13.564132976627324</v>
      </c>
      <c r="J3" t="s">
        <v>5</v>
      </c>
      <c r="K3" t="s">
        <v>6</v>
      </c>
      <c r="L3" t="s">
        <v>7</v>
      </c>
      <c r="M3" t="s">
        <v>8</v>
      </c>
    </row>
    <row r="4" spans="1:13" x14ac:dyDescent="0.2">
      <c r="A4">
        <v>0.95196533203125</v>
      </c>
      <c r="B4">
        <v>11.242645573862699</v>
      </c>
      <c r="C4">
        <v>27.242645573862699</v>
      </c>
      <c r="F4" t="s">
        <v>2</v>
      </c>
      <c r="G4">
        <f xml:space="preserve"> MEDIAN(C:C)</f>
        <v>27.38168907847335</v>
      </c>
      <c r="I4">
        <v>15</v>
      </c>
      <c r="J4">
        <v>0</v>
      </c>
      <c r="K4">
        <v>15</v>
      </c>
      <c r="L4">
        <f>COUNTIFS(C:C,"&lt;=15")</f>
        <v>141</v>
      </c>
      <c r="M4">
        <f xml:space="preserve"> L4/500</f>
        <v>0.28199999999999997</v>
      </c>
    </row>
    <row r="5" spans="1:13" x14ac:dyDescent="0.2">
      <c r="A5">
        <v>0.89654541015625</v>
      </c>
      <c r="B5">
        <v>9.0345547365795706</v>
      </c>
      <c r="C5">
        <v>89.034554736579494</v>
      </c>
      <c r="F5" t="s">
        <v>3</v>
      </c>
      <c r="G5">
        <f xml:space="preserve"> QUARTILE(C:C,3)</f>
        <v>59.775087926700778</v>
      </c>
      <c r="I5">
        <v>20</v>
      </c>
      <c r="J5">
        <v>0</v>
      </c>
      <c r="K5">
        <v>20</v>
      </c>
      <c r="L5">
        <f>COUNTIFS(C:C,"&lt;=20")</f>
        <v>197</v>
      </c>
      <c r="M5">
        <f>L5/500</f>
        <v>0.39400000000000002</v>
      </c>
    </row>
    <row r="6" spans="1:13" x14ac:dyDescent="0.2">
      <c r="A6">
        <v>0.768798828125</v>
      </c>
      <c r="B6">
        <v>1.3292803102258699</v>
      </c>
      <c r="C6">
        <v>7.3292803102258697</v>
      </c>
      <c r="I6">
        <v>30</v>
      </c>
      <c r="J6">
        <v>0</v>
      </c>
      <c r="K6">
        <v>30</v>
      </c>
      <c r="L6">
        <f>COUNTIFS(C:C,"&lt;=30")</f>
        <v>260</v>
      </c>
      <c r="M6">
        <f>L6/500</f>
        <v>0.52</v>
      </c>
    </row>
    <row r="7" spans="1:13" x14ac:dyDescent="0.2">
      <c r="A7">
        <v>0.50732421875</v>
      </c>
      <c r="B7">
        <v>36.429987353061897</v>
      </c>
      <c r="C7">
        <v>128</v>
      </c>
      <c r="I7">
        <v>41</v>
      </c>
      <c r="J7">
        <v>41</v>
      </c>
      <c r="L7">
        <f>COUNTIFS(C:C,"&gt;40")</f>
        <v>212</v>
      </c>
      <c r="M7">
        <f>L7/500</f>
        <v>0.42399999999999999</v>
      </c>
    </row>
    <row r="8" spans="1:13" x14ac:dyDescent="0.2">
      <c r="A8">
        <v>0.80218505859375</v>
      </c>
      <c r="B8">
        <v>4.6853016769145901</v>
      </c>
      <c r="C8">
        <v>10.6853016769145</v>
      </c>
      <c r="I8">
        <v>50</v>
      </c>
      <c r="J8">
        <v>50</v>
      </c>
      <c r="L8">
        <f>COUNTIFS(C:C,"&gt;50")</f>
        <v>160</v>
      </c>
      <c r="M8">
        <f>L8/500</f>
        <v>0.32</v>
      </c>
    </row>
    <row r="9" spans="1:13" x14ac:dyDescent="0.2">
      <c r="A9">
        <v>0.96148681640625</v>
      </c>
      <c r="B9">
        <v>1.1675495088844301</v>
      </c>
      <c r="C9">
        <v>17.167549508884399</v>
      </c>
      <c r="I9">
        <v>60</v>
      </c>
      <c r="J9">
        <v>60</v>
      </c>
      <c r="L9">
        <f>COUNTIFS(C:C,"&gt;60")</f>
        <v>125</v>
      </c>
      <c r="M9">
        <f>L9/500</f>
        <v>0.25</v>
      </c>
    </row>
    <row r="10" spans="1:13" x14ac:dyDescent="0.2">
      <c r="A10">
        <v>0.57293701171875</v>
      </c>
      <c r="B10">
        <v>6.6901474674099699</v>
      </c>
      <c r="C10">
        <v>22.690147467409901</v>
      </c>
      <c r="I10">
        <v>80</v>
      </c>
      <c r="L10">
        <f>COUNTIFS(C:C,"&gt;80")</f>
        <v>85</v>
      </c>
      <c r="M10">
        <f>L10/500</f>
        <v>0.17</v>
      </c>
    </row>
    <row r="11" spans="1:13" x14ac:dyDescent="0.2">
      <c r="A11">
        <v>0.37103271484375</v>
      </c>
      <c r="B11">
        <v>27.2234700962962</v>
      </c>
      <c r="C11">
        <v>106</v>
      </c>
    </row>
    <row r="12" spans="1:13" x14ac:dyDescent="0.2">
      <c r="A12">
        <v>0.7095947265625</v>
      </c>
      <c r="B12">
        <v>17.573604882399099</v>
      </c>
      <c r="C12">
        <v>23.573604882399099</v>
      </c>
    </row>
    <row r="13" spans="1:13" x14ac:dyDescent="0.2">
      <c r="A13">
        <v>0.8406982421875</v>
      </c>
      <c r="B13">
        <v>3.3927619286569399</v>
      </c>
      <c r="C13">
        <v>39.392761928656903</v>
      </c>
    </row>
    <row r="14" spans="1:13" x14ac:dyDescent="0.2">
      <c r="A14">
        <v>0.64111328125</v>
      </c>
      <c r="B14">
        <v>5.8647913722241496</v>
      </c>
      <c r="C14">
        <v>21.864791372224101</v>
      </c>
    </row>
    <row r="15" spans="1:13" x14ac:dyDescent="0.2">
      <c r="A15">
        <v>0.9210205078125</v>
      </c>
      <c r="B15">
        <v>7.4436516956700496</v>
      </c>
      <c r="C15">
        <v>45.443651695669999</v>
      </c>
    </row>
    <row r="16" spans="1:13" x14ac:dyDescent="0.2">
      <c r="A16">
        <v>0.54449462890625</v>
      </c>
      <c r="B16">
        <v>8.4948475896694706</v>
      </c>
      <c r="C16">
        <v>14.4948475896694</v>
      </c>
    </row>
    <row r="17" spans="1:16" x14ac:dyDescent="0.2">
      <c r="A17">
        <v>0.39923095703125</v>
      </c>
      <c r="B17">
        <v>8.4948475896694706</v>
      </c>
      <c r="C17">
        <v>84</v>
      </c>
      <c r="E17">
        <f>COUNTIFS(C:C,"&gt;=128")</f>
        <v>8</v>
      </c>
    </row>
    <row r="18" spans="1:16" x14ac:dyDescent="0.2">
      <c r="A18">
        <v>0.5908203125</v>
      </c>
      <c r="B18">
        <v>19.445079896372199</v>
      </c>
      <c r="C18">
        <v>25.445079896372199</v>
      </c>
    </row>
    <row r="19" spans="1:16" x14ac:dyDescent="0.2">
      <c r="A19">
        <v>0.130126953125</v>
      </c>
      <c r="B19">
        <v>19.445079896372199</v>
      </c>
      <c r="C19">
        <v>40</v>
      </c>
    </row>
    <row r="20" spans="1:16" x14ac:dyDescent="0.2">
      <c r="A20">
        <v>0.84698486328125</v>
      </c>
      <c r="B20">
        <v>0.55307946713050005</v>
      </c>
      <c r="C20">
        <v>70.553079467130502</v>
      </c>
    </row>
    <row r="21" spans="1:16" x14ac:dyDescent="0.2">
      <c r="A21">
        <v>6.500244140625E-2</v>
      </c>
      <c r="B21">
        <v>39.081055983576199</v>
      </c>
      <c r="C21">
        <v>106</v>
      </c>
      <c r="N21">
        <v>6</v>
      </c>
      <c r="O21">
        <f>COUNTIFS(C:C,"&lt;=6")</f>
        <v>0</v>
      </c>
      <c r="P21">
        <f t="shared" ref="P17:P38" si="0">O21/500</f>
        <v>0</v>
      </c>
    </row>
    <row r="22" spans="1:16" x14ac:dyDescent="0.2">
      <c r="A22">
        <v>0.97332763671875</v>
      </c>
      <c r="B22">
        <v>1.2819172000838699</v>
      </c>
      <c r="C22">
        <v>17.2819172000838</v>
      </c>
      <c r="N22">
        <v>7</v>
      </c>
      <c r="O22">
        <f>COUNTIFS(C:C,"&lt;=7")</f>
        <v>22</v>
      </c>
      <c r="P22">
        <f t="shared" si="0"/>
        <v>4.3999999999999997E-2</v>
      </c>
    </row>
    <row r="23" spans="1:16" x14ac:dyDescent="0.2">
      <c r="A23">
        <v>0.7484130859375</v>
      </c>
      <c r="B23">
        <v>10.20988515712</v>
      </c>
      <c r="C23">
        <v>16.209885157119999</v>
      </c>
      <c r="N23">
        <v>8</v>
      </c>
      <c r="O23">
        <f>COUNTIFS(C:C,"&lt;=8")</f>
        <v>39</v>
      </c>
      <c r="P23">
        <f t="shared" si="0"/>
        <v>7.8E-2</v>
      </c>
    </row>
    <row r="24" spans="1:16" x14ac:dyDescent="0.2">
      <c r="A24">
        <v>0.755859375</v>
      </c>
      <c r="B24">
        <v>7.51057271358468</v>
      </c>
      <c r="C24">
        <v>23.510572713584601</v>
      </c>
      <c r="N24">
        <v>9</v>
      </c>
      <c r="O24">
        <f>COUNTIFS(C:C,"&lt;=9")</f>
        <v>51</v>
      </c>
      <c r="P24">
        <f t="shared" si="0"/>
        <v>0.10199999999999999</v>
      </c>
    </row>
    <row r="25" spans="1:16" x14ac:dyDescent="0.2">
      <c r="A25">
        <v>0.8365478515625</v>
      </c>
      <c r="B25">
        <v>14.724774314092899</v>
      </c>
      <c r="C25">
        <v>52.724774314092897</v>
      </c>
      <c r="N25" s="2">
        <v>10</v>
      </c>
      <c r="O25" s="2">
        <v>67</v>
      </c>
      <c r="P25">
        <f t="shared" si="0"/>
        <v>0.13400000000000001</v>
      </c>
    </row>
    <row r="26" spans="1:16" x14ac:dyDescent="0.2">
      <c r="A26">
        <v>0.842041015625</v>
      </c>
      <c r="B26">
        <v>1.4427291239779101</v>
      </c>
      <c r="C26">
        <v>17.442729123977902</v>
      </c>
      <c r="N26" s="2">
        <v>15</v>
      </c>
      <c r="O26" s="2">
        <v>141</v>
      </c>
      <c r="P26">
        <f t="shared" si="0"/>
        <v>0.28199999999999997</v>
      </c>
    </row>
    <row r="27" spans="1:16" x14ac:dyDescent="0.2">
      <c r="A27">
        <v>0.84686279296875</v>
      </c>
      <c r="B27">
        <v>5.5641124141760896</v>
      </c>
      <c r="C27">
        <v>11.564112414176099</v>
      </c>
      <c r="N27" s="2">
        <v>20</v>
      </c>
      <c r="O27" s="2">
        <v>197</v>
      </c>
      <c r="P27">
        <f t="shared" si="0"/>
        <v>0.39400000000000002</v>
      </c>
    </row>
    <row r="28" spans="1:16" x14ac:dyDescent="0.2">
      <c r="A28">
        <v>0.97119140625</v>
      </c>
      <c r="B28">
        <v>14.8377340437159</v>
      </c>
      <c r="C28">
        <v>84.837734043715898</v>
      </c>
      <c r="N28" s="2">
        <v>30</v>
      </c>
      <c r="O28" s="2">
        <v>260</v>
      </c>
      <c r="P28">
        <f t="shared" si="0"/>
        <v>0.52</v>
      </c>
    </row>
    <row r="29" spans="1:16" x14ac:dyDescent="0.2">
      <c r="A29">
        <v>0.60589599609375</v>
      </c>
      <c r="B29">
        <v>0.13034401417337699</v>
      </c>
      <c r="C29">
        <v>6.13034401417337</v>
      </c>
      <c r="N29" s="2">
        <v>40</v>
      </c>
      <c r="O29" s="2">
        <v>288</v>
      </c>
      <c r="P29">
        <f t="shared" si="0"/>
        <v>0.57599999999999996</v>
      </c>
    </row>
    <row r="30" spans="1:16" x14ac:dyDescent="0.2">
      <c r="A30">
        <v>0.52301025390625</v>
      </c>
      <c r="B30">
        <v>1.34074084728635</v>
      </c>
      <c r="C30">
        <v>39.340740847286298</v>
      </c>
      <c r="N30" s="2">
        <v>50</v>
      </c>
      <c r="O30" s="2">
        <v>340</v>
      </c>
      <c r="P30">
        <f t="shared" si="0"/>
        <v>0.68</v>
      </c>
    </row>
    <row r="31" spans="1:16" x14ac:dyDescent="0.2">
      <c r="A31">
        <v>0.705810546875</v>
      </c>
      <c r="B31">
        <v>0.108151923025439</v>
      </c>
      <c r="C31">
        <v>6.1081519230254298</v>
      </c>
      <c r="N31" s="2">
        <v>60</v>
      </c>
      <c r="O31" s="2">
        <v>375</v>
      </c>
      <c r="P31">
        <f t="shared" si="0"/>
        <v>0.75</v>
      </c>
    </row>
    <row r="32" spans="1:16" x14ac:dyDescent="0.2">
      <c r="A32">
        <v>0.6712646484375</v>
      </c>
      <c r="B32">
        <v>22.043460330269902</v>
      </c>
      <c r="C32">
        <v>60.043460330269902</v>
      </c>
      <c r="N32" s="2">
        <v>70</v>
      </c>
      <c r="O32" s="2">
        <v>395</v>
      </c>
      <c r="P32">
        <f t="shared" si="0"/>
        <v>0.79</v>
      </c>
    </row>
    <row r="33" spans="1:16" x14ac:dyDescent="0.2">
      <c r="A33">
        <v>0.59649658203125</v>
      </c>
      <c r="B33">
        <v>2.4673580843782799</v>
      </c>
      <c r="C33">
        <v>8.4673580843782794</v>
      </c>
      <c r="N33" s="2">
        <v>80</v>
      </c>
      <c r="O33" s="2">
        <v>415</v>
      </c>
      <c r="P33">
        <f t="shared" si="0"/>
        <v>0.83</v>
      </c>
    </row>
    <row r="34" spans="1:16" x14ac:dyDescent="0.2">
      <c r="A34">
        <v>0.6083984375</v>
      </c>
      <c r="B34">
        <v>12.296981843358701</v>
      </c>
      <c r="C34">
        <v>18.296981843358701</v>
      </c>
      <c r="N34" s="2">
        <v>90</v>
      </c>
      <c r="O34" s="2">
        <v>451</v>
      </c>
      <c r="P34">
        <f t="shared" si="0"/>
        <v>0.90200000000000002</v>
      </c>
    </row>
    <row r="35" spans="1:16" x14ac:dyDescent="0.2">
      <c r="A35">
        <v>0.83099365234375</v>
      </c>
      <c r="B35">
        <v>4.2673410449450602</v>
      </c>
      <c r="C35">
        <v>10.267341044945001</v>
      </c>
      <c r="N35" s="2">
        <v>100</v>
      </c>
      <c r="O35" s="2">
        <v>461</v>
      </c>
      <c r="P35">
        <f t="shared" si="0"/>
        <v>0.92200000000000004</v>
      </c>
    </row>
    <row r="36" spans="1:16" x14ac:dyDescent="0.2">
      <c r="A36">
        <v>0.97857666015625</v>
      </c>
      <c r="B36">
        <v>9.4361732484941605</v>
      </c>
      <c r="C36">
        <v>47.4361732484941</v>
      </c>
      <c r="N36" s="2">
        <v>110</v>
      </c>
      <c r="O36" s="2">
        <v>488</v>
      </c>
      <c r="P36">
        <f t="shared" si="0"/>
        <v>0.97599999999999998</v>
      </c>
    </row>
    <row r="37" spans="1:16" x14ac:dyDescent="0.2">
      <c r="A37">
        <v>0.92205810546875</v>
      </c>
      <c r="B37">
        <v>3.9751347379841802</v>
      </c>
      <c r="C37">
        <v>41.975134737984099</v>
      </c>
      <c r="N37" s="2">
        <v>120</v>
      </c>
      <c r="O37" s="2">
        <v>491</v>
      </c>
      <c r="P37">
        <f t="shared" si="0"/>
        <v>0.98199999999999998</v>
      </c>
    </row>
    <row r="38" spans="1:16" x14ac:dyDescent="0.2">
      <c r="A38">
        <v>0.98175048828125</v>
      </c>
      <c r="B38">
        <v>0.67100327811531002</v>
      </c>
      <c r="C38">
        <v>38.6710032781153</v>
      </c>
      <c r="N38" s="2">
        <v>130</v>
      </c>
      <c r="O38" s="2">
        <v>500</v>
      </c>
      <c r="P38">
        <f t="shared" si="0"/>
        <v>1</v>
      </c>
    </row>
    <row r="39" spans="1:16" x14ac:dyDescent="0.2">
      <c r="A39">
        <v>0.6739501953125</v>
      </c>
      <c r="B39">
        <v>0.15777090321698101</v>
      </c>
      <c r="C39">
        <v>48.1577709032169</v>
      </c>
    </row>
    <row r="40" spans="1:16" x14ac:dyDescent="0.2">
      <c r="A40">
        <v>0.91851806640625</v>
      </c>
      <c r="B40">
        <v>6.1145364745202704</v>
      </c>
      <c r="C40">
        <v>12.1145364745202</v>
      </c>
    </row>
    <row r="41" spans="1:16" x14ac:dyDescent="0.2">
      <c r="A41">
        <v>0.948974609375</v>
      </c>
      <c r="B41">
        <v>10.723210628127701</v>
      </c>
      <c r="C41">
        <v>16.723210628127699</v>
      </c>
    </row>
    <row r="42" spans="1:16" x14ac:dyDescent="0.2">
      <c r="A42">
        <v>0.7816162109375</v>
      </c>
      <c r="B42">
        <v>1.0903012035000199</v>
      </c>
      <c r="C42">
        <v>17.090301203500001</v>
      </c>
    </row>
    <row r="43" spans="1:16" x14ac:dyDescent="0.2">
      <c r="A43">
        <v>0.85931396484375</v>
      </c>
      <c r="B43">
        <v>2.3714830177230199</v>
      </c>
      <c r="C43">
        <v>28.371483017723001</v>
      </c>
    </row>
    <row r="44" spans="1:16" x14ac:dyDescent="0.2">
      <c r="A44">
        <v>0.7135009765625</v>
      </c>
      <c r="B44">
        <v>0.77524352908327199</v>
      </c>
      <c r="C44">
        <v>6.7752435290832702</v>
      </c>
    </row>
    <row r="45" spans="1:16" x14ac:dyDescent="0.2">
      <c r="A45">
        <v>0.84283447265625</v>
      </c>
      <c r="B45">
        <v>1.67289601336209</v>
      </c>
      <c r="C45">
        <v>7.6728960133620898</v>
      </c>
    </row>
    <row r="46" spans="1:16" x14ac:dyDescent="0.2">
      <c r="A46">
        <v>0.5321044921875</v>
      </c>
      <c r="B46">
        <v>2.8160287945250801</v>
      </c>
      <c r="C46">
        <v>72.816028794524996</v>
      </c>
    </row>
    <row r="47" spans="1:16" x14ac:dyDescent="0.2">
      <c r="A47">
        <v>0.66253662109375</v>
      </c>
      <c r="B47">
        <v>7.9003077336563798</v>
      </c>
      <c r="C47">
        <v>55.900307733656298</v>
      </c>
    </row>
    <row r="48" spans="1:16" x14ac:dyDescent="0.2">
      <c r="A48">
        <v>0.879638671875</v>
      </c>
      <c r="B48">
        <v>22.526621156171199</v>
      </c>
      <c r="C48">
        <v>92.526621156171203</v>
      </c>
    </row>
    <row r="49" spans="1:3" x14ac:dyDescent="0.2">
      <c r="A49">
        <v>0.54376220703125</v>
      </c>
      <c r="B49">
        <v>7.4477381932406201</v>
      </c>
      <c r="C49">
        <v>55.447738193240603</v>
      </c>
    </row>
    <row r="50" spans="1:3" x14ac:dyDescent="0.2">
      <c r="A50">
        <v>0.9332275390625</v>
      </c>
      <c r="B50">
        <v>3.1961468162523099</v>
      </c>
      <c r="C50">
        <v>73.196146816252295</v>
      </c>
    </row>
    <row r="51" spans="1:3" x14ac:dyDescent="0.2">
      <c r="A51">
        <v>0.9237060546875</v>
      </c>
      <c r="B51">
        <v>0.80653632991845803</v>
      </c>
      <c r="C51">
        <v>80.806536329918401</v>
      </c>
    </row>
    <row r="52" spans="1:3" x14ac:dyDescent="0.2">
      <c r="A52">
        <v>0.86651611328125</v>
      </c>
      <c r="B52">
        <v>1.9522953468948501</v>
      </c>
      <c r="C52">
        <v>7.9522953468948501</v>
      </c>
    </row>
    <row r="53" spans="1:3" x14ac:dyDescent="0.2">
      <c r="A53">
        <v>0.52203369140625</v>
      </c>
      <c r="B53">
        <v>16.559601196665898</v>
      </c>
      <c r="C53">
        <v>96.559601196665895</v>
      </c>
    </row>
    <row r="54" spans="1:3" x14ac:dyDescent="0.2">
      <c r="A54">
        <v>0.5648193359375</v>
      </c>
      <c r="B54">
        <v>0.35455181929048601</v>
      </c>
      <c r="C54">
        <v>48.3545518192904</v>
      </c>
    </row>
    <row r="55" spans="1:3" x14ac:dyDescent="0.2">
      <c r="A55">
        <v>0.92364501953125</v>
      </c>
      <c r="B55">
        <v>16.920130652846399</v>
      </c>
      <c r="C55">
        <v>22.920130652846399</v>
      </c>
    </row>
    <row r="56" spans="1:3" x14ac:dyDescent="0.2">
      <c r="A56">
        <v>0.38385009765625</v>
      </c>
      <c r="B56">
        <v>16.920130652846399</v>
      </c>
      <c r="C56">
        <v>128</v>
      </c>
    </row>
    <row r="57" spans="1:3" x14ac:dyDescent="0.2">
      <c r="A57">
        <v>0.564697265625</v>
      </c>
      <c r="B57">
        <v>3.2959794054893798</v>
      </c>
      <c r="C57">
        <v>9.2959794054893798</v>
      </c>
    </row>
    <row r="58" spans="1:3" x14ac:dyDescent="0.2">
      <c r="A58">
        <v>0.77264404296875</v>
      </c>
      <c r="B58">
        <v>21.734820019057398</v>
      </c>
      <c r="C58">
        <v>27.734820019057398</v>
      </c>
    </row>
    <row r="59" spans="1:3" x14ac:dyDescent="0.2">
      <c r="A59">
        <v>0.5028076171875</v>
      </c>
      <c r="B59">
        <v>0.63851647214503804</v>
      </c>
      <c r="C59">
        <v>6.6385164721450298</v>
      </c>
    </row>
    <row r="60" spans="1:3" x14ac:dyDescent="0.2">
      <c r="A60">
        <v>0.88134765625</v>
      </c>
      <c r="B60">
        <v>22.145038466621301</v>
      </c>
      <c r="C60">
        <v>60.145038466621301</v>
      </c>
    </row>
    <row r="61" spans="1:3" x14ac:dyDescent="0.2">
      <c r="A61">
        <v>0.73004150390625</v>
      </c>
      <c r="B61">
        <v>22.5170517776737</v>
      </c>
      <c r="C61">
        <v>70.5170517776737</v>
      </c>
    </row>
    <row r="62" spans="1:3" x14ac:dyDescent="0.2">
      <c r="A62">
        <v>0.803466796875</v>
      </c>
      <c r="B62">
        <v>4.4771605624717496</v>
      </c>
      <c r="C62">
        <v>10.477160562471701</v>
      </c>
    </row>
    <row r="63" spans="1:3" x14ac:dyDescent="0.2">
      <c r="A63">
        <v>0.8935546875</v>
      </c>
      <c r="B63">
        <v>7.07880857204424</v>
      </c>
      <c r="C63">
        <v>87.078808572044196</v>
      </c>
    </row>
    <row r="64" spans="1:3" x14ac:dyDescent="0.2">
      <c r="A64">
        <v>0.9351806640625</v>
      </c>
      <c r="B64">
        <v>11.1736852225532</v>
      </c>
      <c r="C64">
        <v>49.173685222553203</v>
      </c>
    </row>
    <row r="65" spans="1:3" x14ac:dyDescent="0.2">
      <c r="A65">
        <v>0.714111328125</v>
      </c>
      <c r="B65">
        <v>3.22198517704651</v>
      </c>
      <c r="C65">
        <v>19.221985177046498</v>
      </c>
    </row>
    <row r="66" spans="1:3" x14ac:dyDescent="0.2">
      <c r="A66">
        <v>0.59783935546875</v>
      </c>
      <c r="B66">
        <v>8.88312341980388</v>
      </c>
      <c r="C66">
        <v>14.8831234198038</v>
      </c>
    </row>
    <row r="67" spans="1:3" x14ac:dyDescent="0.2">
      <c r="A67">
        <v>0.50128173828125</v>
      </c>
      <c r="B67">
        <v>14.682375849534999</v>
      </c>
      <c r="C67">
        <v>52.682375849534999</v>
      </c>
    </row>
    <row r="68" spans="1:3" x14ac:dyDescent="0.2">
      <c r="A68">
        <v>0.82763671875</v>
      </c>
      <c r="B68">
        <v>4.8016649068982504</v>
      </c>
      <c r="C68">
        <v>10.8016649068982</v>
      </c>
    </row>
    <row r="69" spans="1:3" x14ac:dyDescent="0.2">
      <c r="A69">
        <v>0.87554931640625</v>
      </c>
      <c r="B69">
        <v>13.3500270536122</v>
      </c>
      <c r="C69">
        <v>61.350027053612202</v>
      </c>
    </row>
    <row r="70" spans="1:3" x14ac:dyDescent="0.2">
      <c r="A70">
        <v>0.796630859375</v>
      </c>
      <c r="B70">
        <v>10.890843846067799</v>
      </c>
      <c r="C70">
        <v>16.890843846067799</v>
      </c>
    </row>
    <row r="71" spans="1:3" x14ac:dyDescent="0.2">
      <c r="A71">
        <v>0.67449951171875</v>
      </c>
      <c r="B71">
        <v>11.2501245395146</v>
      </c>
      <c r="C71">
        <v>17.250124539514601</v>
      </c>
    </row>
    <row r="72" spans="1:3" x14ac:dyDescent="0.2">
      <c r="A72">
        <v>0.34759521484375</v>
      </c>
      <c r="B72">
        <v>11.2501245395146</v>
      </c>
      <c r="C72">
        <v>84</v>
      </c>
    </row>
    <row r="73" spans="1:3" x14ac:dyDescent="0.2">
      <c r="A73">
        <v>0.7174072265625</v>
      </c>
      <c r="B73">
        <v>21.3338280560192</v>
      </c>
      <c r="C73">
        <v>27.3338280560192</v>
      </c>
    </row>
    <row r="74" spans="1:3" x14ac:dyDescent="0.2">
      <c r="A74">
        <v>0.67486572265625</v>
      </c>
      <c r="B74">
        <v>13.721097342961899</v>
      </c>
      <c r="C74">
        <v>19.721097342961901</v>
      </c>
    </row>
    <row r="75" spans="1:3" x14ac:dyDescent="0.2">
      <c r="A75">
        <v>0.86053466796875</v>
      </c>
      <c r="B75">
        <v>3.3162390879155499</v>
      </c>
      <c r="C75">
        <v>41.316239087915498</v>
      </c>
    </row>
    <row r="76" spans="1:3" x14ac:dyDescent="0.2">
      <c r="A76">
        <v>2.581787109375E-2</v>
      </c>
      <c r="B76">
        <v>30.621500061680301</v>
      </c>
      <c r="C76">
        <v>106</v>
      </c>
    </row>
    <row r="77" spans="1:3" x14ac:dyDescent="0.2">
      <c r="A77">
        <v>0.6788330078125</v>
      </c>
      <c r="B77">
        <v>4.7700155774701001</v>
      </c>
      <c r="C77">
        <v>10.770015577470099</v>
      </c>
    </row>
    <row r="78" spans="1:3" x14ac:dyDescent="0.2">
      <c r="A78">
        <v>0.65594482421875</v>
      </c>
      <c r="B78">
        <v>2.1995831573013702</v>
      </c>
      <c r="C78">
        <v>72.199583157301305</v>
      </c>
    </row>
    <row r="79" spans="1:3" x14ac:dyDescent="0.2">
      <c r="A79">
        <v>0.68829345703125</v>
      </c>
      <c r="B79">
        <v>6.4432902998113804</v>
      </c>
      <c r="C79">
        <v>22.443290299811299</v>
      </c>
    </row>
    <row r="80" spans="1:3" x14ac:dyDescent="0.2">
      <c r="A80">
        <v>0.56341552734375</v>
      </c>
      <c r="B80">
        <v>13.448461610031901</v>
      </c>
      <c r="C80">
        <v>29.448461610031899</v>
      </c>
    </row>
    <row r="81" spans="1:3" x14ac:dyDescent="0.2">
      <c r="A81">
        <v>0.56072998046875</v>
      </c>
      <c r="B81">
        <v>35.705182977054299</v>
      </c>
      <c r="C81">
        <v>106</v>
      </c>
    </row>
    <row r="82" spans="1:3" x14ac:dyDescent="0.2">
      <c r="A82">
        <v>0.88604736328125</v>
      </c>
      <c r="B82">
        <v>1.5848114485384801</v>
      </c>
      <c r="C82">
        <v>39.584811448538403</v>
      </c>
    </row>
    <row r="83" spans="1:3" x14ac:dyDescent="0.2">
      <c r="A83">
        <v>0.78271484375</v>
      </c>
      <c r="B83">
        <v>18.2580151652468</v>
      </c>
      <c r="C83">
        <v>24.2580151652468</v>
      </c>
    </row>
    <row r="84" spans="1:3" x14ac:dyDescent="0.2">
      <c r="A84">
        <v>0.97906494140625</v>
      </c>
      <c r="B84">
        <v>1.2827322236859</v>
      </c>
      <c r="C84">
        <v>71.282732223685898</v>
      </c>
    </row>
    <row r="85" spans="1:3" x14ac:dyDescent="0.2">
      <c r="A85">
        <v>0.845458984375</v>
      </c>
      <c r="B85">
        <v>1.92818858028568</v>
      </c>
      <c r="C85">
        <v>7.9281885802856804</v>
      </c>
    </row>
    <row r="86" spans="1:3" x14ac:dyDescent="0.2">
      <c r="A86">
        <v>0.81817626953125</v>
      </c>
      <c r="B86">
        <v>23.534694868901799</v>
      </c>
      <c r="C86">
        <v>71.534694868901795</v>
      </c>
    </row>
    <row r="87" spans="1:3" x14ac:dyDescent="0.2">
      <c r="A87">
        <v>0.826171875</v>
      </c>
      <c r="B87">
        <v>15.0002418171391</v>
      </c>
      <c r="C87">
        <v>21.000241817139099</v>
      </c>
    </row>
    <row r="88" spans="1:3" x14ac:dyDescent="0.2">
      <c r="A88">
        <v>0.8443603515625</v>
      </c>
      <c r="B88">
        <v>22.205468576896699</v>
      </c>
      <c r="C88">
        <v>60.205468576896699</v>
      </c>
    </row>
    <row r="89" spans="1:3" x14ac:dyDescent="0.2">
      <c r="A89">
        <v>0.71588134765625</v>
      </c>
      <c r="B89">
        <v>4.77655686953723</v>
      </c>
      <c r="C89">
        <v>10.776556869537201</v>
      </c>
    </row>
    <row r="90" spans="1:3" x14ac:dyDescent="0.2">
      <c r="A90">
        <v>0.69842529296875</v>
      </c>
      <c r="B90">
        <v>6.8459185760275796</v>
      </c>
      <c r="C90">
        <v>44.845918576027501</v>
      </c>
    </row>
    <row r="91" spans="1:3" x14ac:dyDescent="0.2">
      <c r="A91">
        <v>0.6942138671875</v>
      </c>
      <c r="B91">
        <v>9.1141233827848005</v>
      </c>
      <c r="C91">
        <v>15.1141233827848</v>
      </c>
    </row>
    <row r="92" spans="1:3" x14ac:dyDescent="0.2">
      <c r="A92">
        <v>0.98468017578125</v>
      </c>
      <c r="B92">
        <v>7.2920764312689901</v>
      </c>
      <c r="C92">
        <v>13.292076431268899</v>
      </c>
    </row>
    <row r="93" spans="1:3" x14ac:dyDescent="0.2">
      <c r="A93">
        <v>0.79150390625</v>
      </c>
      <c r="B93">
        <v>0.63156644138349904</v>
      </c>
      <c r="C93">
        <v>6.6315664413834998</v>
      </c>
    </row>
    <row r="94" spans="1:3" x14ac:dyDescent="0.2">
      <c r="A94">
        <v>0.9932861328125</v>
      </c>
      <c r="B94">
        <v>13.0355793780156</v>
      </c>
      <c r="C94">
        <v>51.035579378015598</v>
      </c>
    </row>
    <row r="95" spans="1:3" x14ac:dyDescent="0.2">
      <c r="A95">
        <v>0.93707275390625</v>
      </c>
      <c r="B95">
        <v>4.2788438125898098</v>
      </c>
      <c r="C95">
        <v>10.2788438125898</v>
      </c>
    </row>
    <row r="96" spans="1:3" x14ac:dyDescent="0.2">
      <c r="A96">
        <v>0.901123046875</v>
      </c>
      <c r="B96">
        <v>3.4766238009264998</v>
      </c>
      <c r="C96">
        <v>9.4766238009265003</v>
      </c>
    </row>
    <row r="97" spans="1:3" x14ac:dyDescent="0.2">
      <c r="A97">
        <v>0.8040771484375</v>
      </c>
      <c r="B97">
        <v>5.26510317346892</v>
      </c>
      <c r="C97">
        <v>43.265103173468901</v>
      </c>
    </row>
    <row r="98" spans="1:3" x14ac:dyDescent="0.2">
      <c r="A98">
        <v>0.88555908203125</v>
      </c>
      <c r="B98">
        <v>0.99363922891970402</v>
      </c>
      <c r="C98">
        <v>6.9936392289197</v>
      </c>
    </row>
    <row r="99" spans="1:3" x14ac:dyDescent="0.2">
      <c r="A99">
        <v>0.14263916015625</v>
      </c>
      <c r="B99">
        <v>0.99363922891970402</v>
      </c>
      <c r="C99">
        <v>62</v>
      </c>
    </row>
    <row r="100" spans="1:3" x14ac:dyDescent="0.2">
      <c r="A100">
        <v>2.081298828125E-2</v>
      </c>
      <c r="B100">
        <v>0.99363922891970402</v>
      </c>
      <c r="C100">
        <v>84</v>
      </c>
    </row>
    <row r="101" spans="1:3" x14ac:dyDescent="0.2">
      <c r="A101">
        <v>0.64202880859375</v>
      </c>
      <c r="B101">
        <v>9.4168935549641599</v>
      </c>
      <c r="C101">
        <v>47.416893554964098</v>
      </c>
    </row>
    <row r="102" spans="1:3" x14ac:dyDescent="0.2">
      <c r="A102">
        <v>0.9317626953125</v>
      </c>
      <c r="B102">
        <v>5.6588082146630097</v>
      </c>
      <c r="C102">
        <v>11.658808214663001</v>
      </c>
    </row>
    <row r="103" spans="1:3" x14ac:dyDescent="0.2">
      <c r="A103">
        <v>0.83258056640625</v>
      </c>
      <c r="B103">
        <v>4.7188984475619904</v>
      </c>
      <c r="C103">
        <v>10.7188984475619</v>
      </c>
    </row>
    <row r="104" spans="1:3" x14ac:dyDescent="0.2">
      <c r="A104">
        <v>0.89044189453125</v>
      </c>
      <c r="B104">
        <v>12.413875872025301</v>
      </c>
      <c r="C104">
        <v>114.413875872025</v>
      </c>
    </row>
    <row r="105" spans="1:3" x14ac:dyDescent="0.2">
      <c r="A105">
        <v>0.83587646484375</v>
      </c>
      <c r="B105">
        <v>1.3014930608688799</v>
      </c>
      <c r="C105">
        <v>39.3014930608688</v>
      </c>
    </row>
    <row r="106" spans="1:3" x14ac:dyDescent="0.2">
      <c r="A106">
        <v>0.7213134765625</v>
      </c>
      <c r="B106">
        <v>5.8325957947059797</v>
      </c>
      <c r="C106">
        <v>11.832595794705901</v>
      </c>
    </row>
    <row r="107" spans="1:3" x14ac:dyDescent="0.2">
      <c r="A107">
        <v>0.773681640625</v>
      </c>
      <c r="B107">
        <v>24.165294085949501</v>
      </c>
      <c r="C107">
        <v>62.165294085949597</v>
      </c>
    </row>
    <row r="108" spans="1:3" x14ac:dyDescent="0.2">
      <c r="A108">
        <v>0.9149169921875</v>
      </c>
      <c r="B108">
        <v>11.692079250863699</v>
      </c>
      <c r="C108">
        <v>49.692079250863699</v>
      </c>
    </row>
    <row r="109" spans="1:3" x14ac:dyDescent="0.2">
      <c r="A109">
        <v>0.99444580078125</v>
      </c>
      <c r="B109">
        <v>5.1161030463972397</v>
      </c>
      <c r="C109">
        <v>11.1161030463972</v>
      </c>
    </row>
    <row r="110" spans="1:3" x14ac:dyDescent="0.2">
      <c r="A110">
        <v>0.87158203125</v>
      </c>
      <c r="B110">
        <v>1.44438122007745</v>
      </c>
      <c r="C110">
        <v>7.4443812200774397</v>
      </c>
    </row>
    <row r="111" spans="1:3" x14ac:dyDescent="0.2">
      <c r="A111">
        <v>0.66558837890625</v>
      </c>
      <c r="B111">
        <v>8.8585803970595496</v>
      </c>
      <c r="C111">
        <v>56.858580397059498</v>
      </c>
    </row>
    <row r="112" spans="1:3" x14ac:dyDescent="0.2">
      <c r="A112">
        <v>0.95672607421875</v>
      </c>
      <c r="B112">
        <v>8.26514732479664</v>
      </c>
      <c r="C112">
        <v>24.265147324796601</v>
      </c>
    </row>
    <row r="113" spans="1:3" x14ac:dyDescent="0.2">
      <c r="A113">
        <v>0.83282470703125</v>
      </c>
      <c r="B113">
        <v>0.292851156645767</v>
      </c>
      <c r="C113">
        <v>38.292851156645703</v>
      </c>
    </row>
    <row r="114" spans="1:3" x14ac:dyDescent="0.2">
      <c r="A114">
        <v>0.9462890625</v>
      </c>
      <c r="B114">
        <v>9.9839281731707104</v>
      </c>
      <c r="C114">
        <v>15.9839281731707</v>
      </c>
    </row>
    <row r="115" spans="1:3" x14ac:dyDescent="0.2">
      <c r="A115">
        <v>0.80865478515625</v>
      </c>
      <c r="B115">
        <v>4.1270614892958797</v>
      </c>
      <c r="C115">
        <v>74.127061489295798</v>
      </c>
    </row>
    <row r="116" spans="1:3" x14ac:dyDescent="0.2">
      <c r="A116">
        <v>0.73651123046875</v>
      </c>
      <c r="B116">
        <v>3.1123169921241201</v>
      </c>
      <c r="C116">
        <v>19.1123169921241</v>
      </c>
    </row>
    <row r="117" spans="1:3" x14ac:dyDescent="0.2">
      <c r="A117">
        <v>0.8065185546875</v>
      </c>
      <c r="B117">
        <v>4.9944445612226698</v>
      </c>
      <c r="C117">
        <v>10.9944445612226</v>
      </c>
    </row>
    <row r="118" spans="1:3" x14ac:dyDescent="0.2">
      <c r="A118">
        <v>0.90557861328125</v>
      </c>
      <c r="B118">
        <v>5.8111799651075504</v>
      </c>
      <c r="C118">
        <v>11.811179965107501</v>
      </c>
    </row>
    <row r="119" spans="1:3" x14ac:dyDescent="0.2">
      <c r="A119">
        <v>0.94287109375</v>
      </c>
      <c r="B119">
        <v>9.9805625862744396</v>
      </c>
      <c r="C119">
        <v>15.980562586274401</v>
      </c>
    </row>
    <row r="120" spans="1:3" x14ac:dyDescent="0.2">
      <c r="A120">
        <v>0.57366943359375</v>
      </c>
      <c r="B120">
        <v>17.774860764306801</v>
      </c>
      <c r="C120">
        <v>23.774860764306801</v>
      </c>
    </row>
    <row r="121" spans="1:3" x14ac:dyDescent="0.2">
      <c r="A121">
        <v>0.12567138671875</v>
      </c>
      <c r="B121">
        <v>17.774860764306801</v>
      </c>
      <c r="C121">
        <v>84</v>
      </c>
    </row>
    <row r="122" spans="1:3" x14ac:dyDescent="0.2">
      <c r="A122">
        <v>0.71270751953125</v>
      </c>
      <c r="B122">
        <v>8.3853388755705094</v>
      </c>
      <c r="C122">
        <v>24.385338875570501</v>
      </c>
    </row>
    <row r="123" spans="1:3" x14ac:dyDescent="0.2">
      <c r="A123">
        <v>4.791259765625E-2</v>
      </c>
      <c r="B123">
        <v>8.3853388755705094</v>
      </c>
      <c r="C123">
        <v>106</v>
      </c>
    </row>
    <row r="124" spans="1:3" x14ac:dyDescent="0.2">
      <c r="A124">
        <v>0.62420654296875</v>
      </c>
      <c r="B124">
        <v>2.90713552282554</v>
      </c>
      <c r="C124">
        <v>18.907135522825499</v>
      </c>
    </row>
    <row r="125" spans="1:3" x14ac:dyDescent="0.2">
      <c r="A125">
        <v>0.75421142578125</v>
      </c>
      <c r="B125">
        <v>7.5999253229936299</v>
      </c>
      <c r="C125">
        <v>45.599925322993599</v>
      </c>
    </row>
    <row r="126" spans="1:3" x14ac:dyDescent="0.2">
      <c r="A126">
        <v>0.70166015625</v>
      </c>
      <c r="B126">
        <v>1.457606183532</v>
      </c>
      <c r="C126">
        <v>7.4576061835320004</v>
      </c>
    </row>
    <row r="127" spans="1:3" x14ac:dyDescent="0.2">
      <c r="A127">
        <v>0.8721923828125</v>
      </c>
      <c r="B127">
        <v>15.7138445996508</v>
      </c>
      <c r="C127">
        <v>31.713844599650798</v>
      </c>
    </row>
    <row r="128" spans="1:3" x14ac:dyDescent="0.2">
      <c r="A128">
        <v>0.998779296875</v>
      </c>
      <c r="B128">
        <v>19.523086671609299</v>
      </c>
      <c r="C128">
        <v>35.523086671609299</v>
      </c>
    </row>
    <row r="129" spans="1:3" x14ac:dyDescent="0.2">
      <c r="A129">
        <v>0.73211669921875</v>
      </c>
      <c r="B129">
        <v>1.6787913708866999</v>
      </c>
      <c r="C129">
        <v>7.6787913708867004</v>
      </c>
    </row>
    <row r="130" spans="1:3" x14ac:dyDescent="0.2">
      <c r="A130">
        <v>0.53009033203125</v>
      </c>
      <c r="B130">
        <v>3.25652309663533</v>
      </c>
      <c r="C130">
        <v>41.256523096635298</v>
      </c>
    </row>
    <row r="131" spans="1:3" x14ac:dyDescent="0.2">
      <c r="A131">
        <v>0.22467041015625</v>
      </c>
      <c r="B131">
        <v>3.25652309663533</v>
      </c>
      <c r="C131">
        <v>106</v>
      </c>
    </row>
    <row r="132" spans="1:3" x14ac:dyDescent="0.2">
      <c r="A132">
        <v>0.659423828125</v>
      </c>
      <c r="B132">
        <v>3.3094820592207501</v>
      </c>
      <c r="C132">
        <v>9.3094820592207501</v>
      </c>
    </row>
    <row r="133" spans="1:3" x14ac:dyDescent="0.2">
      <c r="A133">
        <v>0.54034423828125</v>
      </c>
      <c r="B133">
        <v>10.107422602060799</v>
      </c>
      <c r="C133">
        <v>58.107422602060801</v>
      </c>
    </row>
    <row r="134" spans="1:3" x14ac:dyDescent="0.2">
      <c r="A134">
        <v>0.78961181640625</v>
      </c>
      <c r="B134">
        <v>0.75026791031136297</v>
      </c>
      <c r="C134">
        <v>80.750267910311294</v>
      </c>
    </row>
    <row r="135" spans="1:3" x14ac:dyDescent="0.2">
      <c r="A135">
        <v>0.77606201171875</v>
      </c>
      <c r="B135">
        <v>15.025833637459501</v>
      </c>
      <c r="C135">
        <v>53.025833637459499</v>
      </c>
    </row>
    <row r="136" spans="1:3" x14ac:dyDescent="0.2">
      <c r="A136">
        <v>0.7308349609375</v>
      </c>
      <c r="B136">
        <v>10.930843883104901</v>
      </c>
      <c r="C136">
        <v>16.930843883104899</v>
      </c>
    </row>
    <row r="137" spans="1:3" x14ac:dyDescent="0.2">
      <c r="A137">
        <v>0.7252197265625</v>
      </c>
      <c r="B137">
        <v>3.7668207514465801</v>
      </c>
      <c r="C137">
        <v>105.76682075144601</v>
      </c>
    </row>
    <row r="138" spans="1:3" x14ac:dyDescent="0.2">
      <c r="A138">
        <v>0.996337890625</v>
      </c>
      <c r="B138">
        <v>8.3485673814543198</v>
      </c>
      <c r="C138">
        <v>46.348567381454302</v>
      </c>
    </row>
    <row r="139" spans="1:3" x14ac:dyDescent="0.2">
      <c r="A139">
        <v>0.71209716796875</v>
      </c>
      <c r="B139">
        <v>21.097811150713198</v>
      </c>
      <c r="C139">
        <v>27.097811150713198</v>
      </c>
    </row>
    <row r="140" spans="1:3" x14ac:dyDescent="0.2">
      <c r="A140">
        <v>0.6063232421875</v>
      </c>
      <c r="B140">
        <v>0.350026363548605</v>
      </c>
      <c r="C140">
        <v>6.3500263635485998</v>
      </c>
    </row>
    <row r="141" spans="1:3" x14ac:dyDescent="0.2">
      <c r="A141">
        <v>0.75238037109375</v>
      </c>
      <c r="B141">
        <v>4.3291671433731098</v>
      </c>
      <c r="C141">
        <v>74.329167143373098</v>
      </c>
    </row>
    <row r="142" spans="1:3" x14ac:dyDescent="0.2">
      <c r="A142">
        <v>0.25750732421875</v>
      </c>
      <c r="B142">
        <v>25.006149087177299</v>
      </c>
      <c r="C142">
        <v>128</v>
      </c>
    </row>
    <row r="143" spans="1:3" x14ac:dyDescent="0.2">
      <c r="A143">
        <v>0.97735595703125</v>
      </c>
      <c r="B143">
        <v>19.112790294629999</v>
      </c>
      <c r="C143">
        <v>57.112790294630003</v>
      </c>
    </row>
    <row r="144" spans="1:3" x14ac:dyDescent="0.2">
      <c r="A144">
        <v>0.7314453125</v>
      </c>
      <c r="B144">
        <v>13.468695806863501</v>
      </c>
      <c r="C144">
        <v>19.468695806863501</v>
      </c>
    </row>
    <row r="145" spans="1:3" x14ac:dyDescent="0.2">
      <c r="A145">
        <v>2.0751953125E-2</v>
      </c>
      <c r="B145">
        <v>13.468695806863501</v>
      </c>
      <c r="C145">
        <v>62</v>
      </c>
    </row>
    <row r="146" spans="1:3" x14ac:dyDescent="0.2">
      <c r="A146">
        <v>0.91229248046875</v>
      </c>
      <c r="B146">
        <v>1.23798792588769</v>
      </c>
      <c r="C146">
        <v>7.2379879258876896</v>
      </c>
    </row>
    <row r="147" spans="1:3" x14ac:dyDescent="0.2">
      <c r="A147">
        <v>0.92510986328125</v>
      </c>
      <c r="B147">
        <v>8.2200208083422002</v>
      </c>
      <c r="C147">
        <v>46.220020808342198</v>
      </c>
    </row>
    <row r="148" spans="1:3" x14ac:dyDescent="0.2">
      <c r="A148">
        <v>0.68695068359375</v>
      </c>
      <c r="B148">
        <v>2.4341183101770101</v>
      </c>
      <c r="C148">
        <v>18.434118310176999</v>
      </c>
    </row>
    <row r="149" spans="1:3" x14ac:dyDescent="0.2">
      <c r="A149">
        <v>0.5001220703125</v>
      </c>
      <c r="B149">
        <v>5.1250808827834602</v>
      </c>
      <c r="C149">
        <v>11.125080882783401</v>
      </c>
    </row>
    <row r="150" spans="1:3" x14ac:dyDescent="0.2">
      <c r="A150">
        <v>0.89312744140625</v>
      </c>
      <c r="B150">
        <v>15.164980569107399</v>
      </c>
      <c r="C150">
        <v>21.164980569107399</v>
      </c>
    </row>
    <row r="151" spans="1:3" x14ac:dyDescent="0.2">
      <c r="A151">
        <v>0.540771484375</v>
      </c>
      <c r="B151">
        <v>13.482204251066801</v>
      </c>
      <c r="C151">
        <v>19.482204251066801</v>
      </c>
    </row>
    <row r="152" spans="1:3" x14ac:dyDescent="0.2">
      <c r="A152">
        <v>0.60723876953125</v>
      </c>
      <c r="B152">
        <v>9.6094673053802708</v>
      </c>
      <c r="C152">
        <v>35.6094673053802</v>
      </c>
    </row>
    <row r="153" spans="1:3" x14ac:dyDescent="0.2">
      <c r="A153">
        <v>0.896484375</v>
      </c>
      <c r="B153">
        <v>23.639270694131099</v>
      </c>
      <c r="C153">
        <v>29.639270694131099</v>
      </c>
    </row>
    <row r="154" spans="1:3" x14ac:dyDescent="0.2">
      <c r="A154">
        <v>0.8521728515625</v>
      </c>
      <c r="B154">
        <v>3.0356696472058098</v>
      </c>
      <c r="C154">
        <v>19.0356696472058</v>
      </c>
    </row>
    <row r="155" spans="1:3" x14ac:dyDescent="0.2">
      <c r="A155">
        <v>0.732666015625</v>
      </c>
      <c r="B155">
        <v>15.488082061783</v>
      </c>
      <c r="C155">
        <v>53.488082061782997</v>
      </c>
    </row>
    <row r="156" spans="1:3" x14ac:dyDescent="0.2">
      <c r="A156">
        <v>0.54998779296875</v>
      </c>
      <c r="B156">
        <v>7.4259596028707504</v>
      </c>
      <c r="C156">
        <v>13.4259596028707</v>
      </c>
    </row>
    <row r="157" spans="1:3" x14ac:dyDescent="0.2">
      <c r="A157">
        <v>0.52374267578125</v>
      </c>
      <c r="B157">
        <v>0.313884025880111</v>
      </c>
      <c r="C157">
        <v>16.3138840258801</v>
      </c>
    </row>
    <row r="158" spans="1:3" x14ac:dyDescent="0.2">
      <c r="A158">
        <v>0.61181640625</v>
      </c>
      <c r="B158">
        <v>13.6295287948679</v>
      </c>
      <c r="C158">
        <v>19.629528794867898</v>
      </c>
    </row>
    <row r="159" spans="1:3" x14ac:dyDescent="0.2">
      <c r="A159">
        <v>9.6435546875E-2</v>
      </c>
      <c r="B159">
        <v>38.2012728033664</v>
      </c>
      <c r="C159">
        <v>84</v>
      </c>
    </row>
    <row r="160" spans="1:3" x14ac:dyDescent="0.2">
      <c r="A160">
        <v>0.53289794921875</v>
      </c>
      <c r="B160">
        <v>7.7848545375559297</v>
      </c>
      <c r="C160">
        <v>13.7848545375559</v>
      </c>
    </row>
    <row r="161" spans="1:3" x14ac:dyDescent="0.2">
      <c r="A161">
        <v>0.9368896484375</v>
      </c>
      <c r="B161">
        <v>12.803438877091899</v>
      </c>
      <c r="C161">
        <v>18.803438877091899</v>
      </c>
    </row>
    <row r="162" spans="1:3" x14ac:dyDescent="0.2">
      <c r="A162">
        <v>0.7490234375</v>
      </c>
      <c r="B162">
        <v>1.8921189904007001</v>
      </c>
      <c r="C162">
        <v>17.8921189904007</v>
      </c>
    </row>
    <row r="163" spans="1:3" x14ac:dyDescent="0.2">
      <c r="A163">
        <v>0.78411865234375</v>
      </c>
      <c r="B163">
        <v>13.988317214299</v>
      </c>
      <c r="C163">
        <v>19.988317214298998</v>
      </c>
    </row>
    <row r="164" spans="1:3" x14ac:dyDescent="0.2">
      <c r="A164">
        <v>0.6968994140625</v>
      </c>
      <c r="B164">
        <v>2.1084346033823702</v>
      </c>
      <c r="C164">
        <v>8.1084346033823707</v>
      </c>
    </row>
    <row r="165" spans="1:3" x14ac:dyDescent="0.2">
      <c r="A165">
        <v>0.62518310546875</v>
      </c>
      <c r="B165">
        <v>9.9452807967702004</v>
      </c>
      <c r="C165">
        <v>57.945280796770199</v>
      </c>
    </row>
    <row r="166" spans="1:3" x14ac:dyDescent="0.2">
      <c r="A166">
        <v>0.80810546875</v>
      </c>
      <c r="B166">
        <v>13.9437554509826</v>
      </c>
      <c r="C166">
        <v>39.9437554509826</v>
      </c>
    </row>
    <row r="167" spans="1:3" x14ac:dyDescent="0.2">
      <c r="A167">
        <v>0.86859130859375</v>
      </c>
      <c r="B167">
        <v>3.0838719724839101</v>
      </c>
      <c r="C167">
        <v>9.0838719724839105</v>
      </c>
    </row>
    <row r="168" spans="1:3" x14ac:dyDescent="0.2">
      <c r="A168">
        <v>0.74664306640625</v>
      </c>
      <c r="B168">
        <v>0.94124086581058597</v>
      </c>
      <c r="C168">
        <v>16.941240865810499</v>
      </c>
    </row>
    <row r="169" spans="1:3" x14ac:dyDescent="0.2">
      <c r="A169">
        <v>0.67950439453125</v>
      </c>
      <c r="B169">
        <v>9.8716917159771604</v>
      </c>
      <c r="C169">
        <v>89.871691715977093</v>
      </c>
    </row>
    <row r="170" spans="1:3" x14ac:dyDescent="0.2">
      <c r="A170">
        <v>0.81243896484375</v>
      </c>
      <c r="B170">
        <v>5.4516858420745899</v>
      </c>
      <c r="C170">
        <v>43.451685842074497</v>
      </c>
    </row>
    <row r="171" spans="1:3" x14ac:dyDescent="0.2">
      <c r="A171">
        <v>0.13787841796875</v>
      </c>
      <c r="B171">
        <v>26.063668611570101</v>
      </c>
      <c r="C171">
        <v>84</v>
      </c>
    </row>
    <row r="172" spans="1:3" x14ac:dyDescent="0.2">
      <c r="A172">
        <v>0.53350830078125</v>
      </c>
      <c r="B172">
        <v>18.318536447917801</v>
      </c>
      <c r="C172">
        <v>56.318536447917801</v>
      </c>
    </row>
    <row r="173" spans="1:3" x14ac:dyDescent="0.2">
      <c r="A173">
        <v>0.69189453125</v>
      </c>
      <c r="B173">
        <v>7.4028630772011503</v>
      </c>
      <c r="C173">
        <v>13.402863077201101</v>
      </c>
    </row>
    <row r="174" spans="1:3" x14ac:dyDescent="0.2">
      <c r="A174">
        <v>0.8155517578125</v>
      </c>
      <c r="B174">
        <v>3.32976457038763</v>
      </c>
      <c r="C174">
        <v>19.329764570387599</v>
      </c>
    </row>
    <row r="175" spans="1:3" x14ac:dyDescent="0.2">
      <c r="A175">
        <v>0.3450927734375</v>
      </c>
      <c r="B175">
        <v>46.3959609680795</v>
      </c>
      <c r="C175">
        <v>106</v>
      </c>
    </row>
    <row r="176" spans="1:3" x14ac:dyDescent="0.2">
      <c r="A176">
        <v>0.5166015625</v>
      </c>
      <c r="B176">
        <v>22.407548934902</v>
      </c>
      <c r="C176">
        <v>38.407548934902003</v>
      </c>
    </row>
    <row r="177" spans="1:3" x14ac:dyDescent="0.2">
      <c r="A177">
        <v>0.9488525390625</v>
      </c>
      <c r="B177">
        <v>0.93411332889092902</v>
      </c>
      <c r="C177">
        <v>38.934113328890902</v>
      </c>
    </row>
    <row r="178" spans="1:3" x14ac:dyDescent="0.2">
      <c r="A178">
        <v>0.97271728515625</v>
      </c>
      <c r="B178">
        <v>5.7601741056832703</v>
      </c>
      <c r="C178">
        <v>11.7601741056832</v>
      </c>
    </row>
    <row r="179" spans="1:3" x14ac:dyDescent="0.2">
      <c r="A179">
        <v>0.993408203125</v>
      </c>
      <c r="B179">
        <v>20.4566109015114</v>
      </c>
      <c r="C179">
        <v>26.4566109015114</v>
      </c>
    </row>
    <row r="180" spans="1:3" x14ac:dyDescent="0.2">
      <c r="A180">
        <v>0.6893310546875</v>
      </c>
      <c r="B180">
        <v>20.996259063688399</v>
      </c>
      <c r="C180">
        <v>36.996259063688399</v>
      </c>
    </row>
    <row r="181" spans="1:3" x14ac:dyDescent="0.2">
      <c r="A181">
        <v>0.94464111328125</v>
      </c>
      <c r="B181">
        <v>2.9314232471372699</v>
      </c>
      <c r="C181">
        <v>8.9314232471372801</v>
      </c>
    </row>
    <row r="182" spans="1:3" x14ac:dyDescent="0.2">
      <c r="A182">
        <v>0.80023193359375</v>
      </c>
      <c r="B182">
        <v>22.322542676241099</v>
      </c>
      <c r="C182">
        <v>60.322542676241099</v>
      </c>
    </row>
    <row r="183" spans="1:3" x14ac:dyDescent="0.2">
      <c r="A183">
        <v>0.6290283203125</v>
      </c>
      <c r="B183">
        <v>15.1003600575368</v>
      </c>
      <c r="C183">
        <v>21.1003600575368</v>
      </c>
    </row>
    <row r="184" spans="1:3" x14ac:dyDescent="0.2">
      <c r="A184">
        <v>0.888427734375</v>
      </c>
      <c r="B184">
        <v>4.06523755038274</v>
      </c>
      <c r="C184">
        <v>42.065237550382697</v>
      </c>
    </row>
    <row r="185" spans="1:3" x14ac:dyDescent="0.2">
      <c r="A185">
        <v>0.8304443359375</v>
      </c>
      <c r="B185">
        <v>14.3848501079218</v>
      </c>
      <c r="C185">
        <v>52.3848501079218</v>
      </c>
    </row>
    <row r="186" spans="1:3" x14ac:dyDescent="0.2">
      <c r="A186">
        <v>0.50177001953125</v>
      </c>
      <c r="B186">
        <v>14.2184320051238</v>
      </c>
      <c r="C186">
        <v>20.218432005123798</v>
      </c>
    </row>
    <row r="187" spans="1:3" x14ac:dyDescent="0.2">
      <c r="A187">
        <v>0.71197509765625</v>
      </c>
      <c r="B187">
        <v>50.143291064489397</v>
      </c>
      <c r="C187">
        <v>106</v>
      </c>
    </row>
    <row r="188" spans="1:3" x14ac:dyDescent="0.2">
      <c r="A188">
        <v>0.29327392578125</v>
      </c>
      <c r="B188">
        <v>50.143291064489397</v>
      </c>
      <c r="C188">
        <v>128</v>
      </c>
    </row>
    <row r="189" spans="1:3" x14ac:dyDescent="0.2">
      <c r="A189">
        <v>0.52197265625</v>
      </c>
      <c r="B189">
        <v>18.814019675169199</v>
      </c>
      <c r="C189">
        <v>24.814019675169199</v>
      </c>
    </row>
    <row r="190" spans="1:3" x14ac:dyDescent="0.2">
      <c r="A190">
        <v>0.92230224609375</v>
      </c>
      <c r="B190">
        <v>4.8498445500480996</v>
      </c>
      <c r="C190">
        <v>10.8498445500481</v>
      </c>
    </row>
    <row r="191" spans="1:3" x14ac:dyDescent="0.2">
      <c r="A191">
        <v>0.33367919921875</v>
      </c>
      <c r="B191">
        <v>33.189312525867201</v>
      </c>
      <c r="C191">
        <v>106</v>
      </c>
    </row>
    <row r="192" spans="1:3" x14ac:dyDescent="0.2">
      <c r="A192">
        <v>0.52239990234375</v>
      </c>
      <c r="B192">
        <v>19.560411740582001</v>
      </c>
      <c r="C192">
        <v>99.560411740581998</v>
      </c>
    </row>
    <row r="193" spans="1:3" x14ac:dyDescent="0.2">
      <c r="A193">
        <v>0.604736328125</v>
      </c>
      <c r="B193">
        <v>2.3625617475180598</v>
      </c>
      <c r="C193">
        <v>72.362561747518001</v>
      </c>
    </row>
    <row r="194" spans="1:3" x14ac:dyDescent="0.2">
      <c r="A194">
        <v>0.57940673828125</v>
      </c>
      <c r="B194">
        <v>4.4103375675035004</v>
      </c>
      <c r="C194">
        <v>52.410337567503497</v>
      </c>
    </row>
    <row r="195" spans="1:3" x14ac:dyDescent="0.2">
      <c r="A195">
        <v>0.8184814453125</v>
      </c>
      <c r="B195">
        <v>2.51513279536857</v>
      </c>
      <c r="C195">
        <v>72.515132795368501</v>
      </c>
    </row>
    <row r="196" spans="1:3" x14ac:dyDescent="0.2">
      <c r="A196">
        <v>0.70367431640625</v>
      </c>
      <c r="B196">
        <v>1.8467567880998901</v>
      </c>
      <c r="C196">
        <v>7.8467567880998903</v>
      </c>
    </row>
    <row r="197" spans="1:3" x14ac:dyDescent="0.2">
      <c r="A197">
        <v>0.87762451171875</v>
      </c>
      <c r="B197">
        <v>2.4808599423079598</v>
      </c>
      <c r="C197">
        <v>18.480859942307902</v>
      </c>
    </row>
    <row r="198" spans="1:3" x14ac:dyDescent="0.2">
      <c r="A198">
        <v>0.30072021484375</v>
      </c>
      <c r="B198">
        <v>2.4808599423079598</v>
      </c>
      <c r="C198">
        <v>106</v>
      </c>
    </row>
    <row r="199" spans="1:3" x14ac:dyDescent="0.2">
      <c r="A199">
        <v>0.7330322265625</v>
      </c>
      <c r="B199">
        <v>3.8361938238815299</v>
      </c>
      <c r="C199">
        <v>9.8361938238815299</v>
      </c>
    </row>
    <row r="200" spans="1:3" x14ac:dyDescent="0.2">
      <c r="A200">
        <v>0.56365966796875</v>
      </c>
      <c r="B200">
        <v>2.8410606728799701</v>
      </c>
      <c r="C200">
        <v>50.841060672879898</v>
      </c>
    </row>
    <row r="201" spans="1:3" x14ac:dyDescent="0.2">
      <c r="A201">
        <v>0.9891357421875</v>
      </c>
      <c r="B201">
        <v>0.25239157785790201</v>
      </c>
      <c r="C201">
        <v>6.2523915778578996</v>
      </c>
    </row>
    <row r="202" spans="1:3" x14ac:dyDescent="0.2">
      <c r="A202">
        <v>0.80303955078125</v>
      </c>
      <c r="B202">
        <v>8.0283165331572093</v>
      </c>
      <c r="C202">
        <v>14.0283165331572</v>
      </c>
    </row>
    <row r="203" spans="1:3" x14ac:dyDescent="0.2">
      <c r="A203">
        <v>0.78668212890625</v>
      </c>
      <c r="B203">
        <v>12.3276332010199</v>
      </c>
      <c r="C203">
        <v>70.327633201019907</v>
      </c>
    </row>
    <row r="204" spans="1:3" x14ac:dyDescent="0.2">
      <c r="A204">
        <v>0.85906982421875</v>
      </c>
      <c r="B204">
        <v>21.447036442819499</v>
      </c>
      <c r="C204">
        <v>59.447036442819503</v>
      </c>
    </row>
    <row r="205" spans="1:3" x14ac:dyDescent="0.2">
      <c r="A205">
        <v>0.51654052734375</v>
      </c>
      <c r="B205">
        <v>12.403576326289601</v>
      </c>
      <c r="C205">
        <v>114.403576326289</v>
      </c>
    </row>
    <row r="206" spans="1:3" x14ac:dyDescent="0.2">
      <c r="A206">
        <v>0.7027587890625</v>
      </c>
      <c r="B206">
        <v>3.0630550614126801</v>
      </c>
      <c r="C206">
        <v>9.0630550614126797</v>
      </c>
    </row>
    <row r="207" spans="1:3" x14ac:dyDescent="0.2">
      <c r="A207">
        <v>0.55474853515625</v>
      </c>
      <c r="B207">
        <v>6.4220081493267003</v>
      </c>
      <c r="C207">
        <v>12.4220081493267</v>
      </c>
    </row>
    <row r="208" spans="1:3" x14ac:dyDescent="0.2">
      <c r="A208">
        <v>0.96417236328125</v>
      </c>
      <c r="B208">
        <v>2.9623209351783002</v>
      </c>
      <c r="C208">
        <v>82.962320935178298</v>
      </c>
    </row>
    <row r="209" spans="1:3" x14ac:dyDescent="0.2">
      <c r="A209">
        <v>0.91351318359375</v>
      </c>
      <c r="B209">
        <v>21.6856304588444</v>
      </c>
      <c r="C209">
        <v>59.6856304588444</v>
      </c>
    </row>
    <row r="210" spans="1:3" x14ac:dyDescent="0.2">
      <c r="A210">
        <v>0.7579345703125</v>
      </c>
      <c r="B210">
        <v>15.332012408993901</v>
      </c>
      <c r="C210">
        <v>21.332012408993901</v>
      </c>
    </row>
    <row r="211" spans="1:3" x14ac:dyDescent="0.2">
      <c r="A211">
        <v>0.80718994140625</v>
      </c>
      <c r="B211">
        <v>8.4844457563142992</v>
      </c>
      <c r="C211">
        <v>14.484445756314299</v>
      </c>
    </row>
    <row r="212" spans="1:3" x14ac:dyDescent="0.2">
      <c r="A212">
        <v>0.6468505859375</v>
      </c>
      <c r="B212">
        <v>17.829751213841799</v>
      </c>
      <c r="C212">
        <v>87.829751213841803</v>
      </c>
    </row>
    <row r="213" spans="1:3" x14ac:dyDescent="0.2">
      <c r="A213">
        <v>0.966796875</v>
      </c>
      <c r="B213">
        <v>4.0477785203869896</v>
      </c>
      <c r="C213">
        <v>42.047778520386899</v>
      </c>
    </row>
    <row r="214" spans="1:3" x14ac:dyDescent="0.2">
      <c r="A214">
        <v>0.177978515625</v>
      </c>
      <c r="B214">
        <v>29.5695352382251</v>
      </c>
      <c r="C214">
        <v>62</v>
      </c>
    </row>
    <row r="215" spans="1:3" x14ac:dyDescent="0.2">
      <c r="A215">
        <v>0.43212890625</v>
      </c>
      <c r="B215">
        <v>29.5695352382251</v>
      </c>
      <c r="C215">
        <v>106</v>
      </c>
    </row>
    <row r="216" spans="1:3" x14ac:dyDescent="0.2">
      <c r="A216">
        <v>0.5089111328125</v>
      </c>
      <c r="B216">
        <v>24.629579447779602</v>
      </c>
      <c r="C216">
        <v>62.629579447779598</v>
      </c>
    </row>
    <row r="217" spans="1:3" x14ac:dyDescent="0.2">
      <c r="A217">
        <v>0.76519775390625</v>
      </c>
      <c r="B217">
        <v>5.9138467274425803</v>
      </c>
      <c r="C217">
        <v>11.9138467274425</v>
      </c>
    </row>
    <row r="218" spans="1:3" x14ac:dyDescent="0.2">
      <c r="A218">
        <v>0.46368408203125</v>
      </c>
      <c r="B218">
        <v>5.9138467274425803</v>
      </c>
      <c r="C218">
        <v>84</v>
      </c>
    </row>
    <row r="219" spans="1:3" x14ac:dyDescent="0.2">
      <c r="A219">
        <v>0.47076416015625</v>
      </c>
      <c r="B219">
        <v>5.9138467274425803</v>
      </c>
      <c r="C219">
        <v>128</v>
      </c>
    </row>
    <row r="220" spans="1:3" x14ac:dyDescent="0.2">
      <c r="A220">
        <v>0.97674560546875</v>
      </c>
      <c r="B220">
        <v>0.71367895595322195</v>
      </c>
      <c r="C220">
        <v>16.713678955953199</v>
      </c>
    </row>
    <row r="221" spans="1:3" x14ac:dyDescent="0.2">
      <c r="A221">
        <v>0.9764404296875</v>
      </c>
      <c r="B221">
        <v>13.144591755609801</v>
      </c>
      <c r="C221">
        <v>19.144591755609799</v>
      </c>
    </row>
    <row r="222" spans="1:3" x14ac:dyDescent="0.2">
      <c r="A222">
        <v>0.4473876953125</v>
      </c>
      <c r="B222">
        <v>13.144591755609801</v>
      </c>
      <c r="C222">
        <v>62</v>
      </c>
    </row>
    <row r="223" spans="1:3" x14ac:dyDescent="0.2">
      <c r="A223">
        <v>0.66070556640625</v>
      </c>
      <c r="B223">
        <v>0.93490506840891496</v>
      </c>
      <c r="C223">
        <v>6.9349050684089102</v>
      </c>
    </row>
    <row r="224" spans="1:3" x14ac:dyDescent="0.2">
      <c r="A224">
        <v>0.46856689453125</v>
      </c>
      <c r="B224">
        <v>37.682460015685201</v>
      </c>
      <c r="C224">
        <v>106</v>
      </c>
    </row>
    <row r="225" spans="1:3" x14ac:dyDescent="0.2">
      <c r="A225">
        <v>0.78900146484375</v>
      </c>
      <c r="B225">
        <v>2.86335515212139</v>
      </c>
      <c r="C225">
        <v>40.863355152121301</v>
      </c>
    </row>
    <row r="226" spans="1:3" x14ac:dyDescent="0.2">
      <c r="A226">
        <v>0.7369384765625</v>
      </c>
      <c r="B226">
        <v>21.464548302913801</v>
      </c>
      <c r="C226">
        <v>27.464548302913801</v>
      </c>
    </row>
    <row r="227" spans="1:3" x14ac:dyDescent="0.2">
      <c r="A227">
        <v>0.664306640625</v>
      </c>
      <c r="B227">
        <v>19.415495906041599</v>
      </c>
      <c r="C227">
        <v>57.415495906041599</v>
      </c>
    </row>
    <row r="228" spans="1:3" x14ac:dyDescent="0.2">
      <c r="A228">
        <v>0.98944091796875</v>
      </c>
      <c r="B228">
        <v>6.9801292154663201</v>
      </c>
      <c r="C228">
        <v>12.980129215466301</v>
      </c>
    </row>
    <row r="229" spans="1:3" x14ac:dyDescent="0.2">
      <c r="A229">
        <v>0.6805419921875</v>
      </c>
      <c r="B229">
        <v>19.844112897266498</v>
      </c>
      <c r="C229">
        <v>25.844112897266498</v>
      </c>
    </row>
    <row r="230" spans="1:3" x14ac:dyDescent="0.2">
      <c r="A230">
        <v>0.51220703125</v>
      </c>
      <c r="B230">
        <v>0.59148933284095595</v>
      </c>
      <c r="C230">
        <v>16.591489332840901</v>
      </c>
    </row>
    <row r="231" spans="1:3" x14ac:dyDescent="0.2">
      <c r="A231">
        <v>0.84222412109375</v>
      </c>
      <c r="B231">
        <v>16.004934387405001</v>
      </c>
      <c r="C231">
        <v>22.004934387405001</v>
      </c>
    </row>
    <row r="232" spans="1:3" x14ac:dyDescent="0.2">
      <c r="A232">
        <v>0.5733642578125</v>
      </c>
      <c r="B232">
        <v>19.710883931614799</v>
      </c>
      <c r="C232">
        <v>25.710883931614799</v>
      </c>
    </row>
    <row r="233" spans="1:3" x14ac:dyDescent="0.2">
      <c r="A233">
        <v>0.4779052734375</v>
      </c>
      <c r="B233">
        <v>19.710883931614799</v>
      </c>
      <c r="C233">
        <v>106</v>
      </c>
    </row>
    <row r="234" spans="1:3" x14ac:dyDescent="0.2">
      <c r="A234">
        <v>0.4566650390625</v>
      </c>
      <c r="B234">
        <v>28.319852127194</v>
      </c>
      <c r="C234">
        <v>106</v>
      </c>
    </row>
    <row r="235" spans="1:3" x14ac:dyDescent="0.2">
      <c r="A235">
        <v>0.5721435546875</v>
      </c>
      <c r="B235">
        <v>10.230483073778</v>
      </c>
      <c r="C235">
        <v>90.230483073778004</v>
      </c>
    </row>
    <row r="236" spans="1:3" x14ac:dyDescent="0.2">
      <c r="A236">
        <v>0.98370361328125</v>
      </c>
      <c r="B236">
        <v>5.5676063725644402</v>
      </c>
      <c r="C236">
        <v>11.5676063725644</v>
      </c>
    </row>
    <row r="237" spans="1:3" x14ac:dyDescent="0.2">
      <c r="A237">
        <v>0.58349609375</v>
      </c>
      <c r="B237">
        <v>6.8744591300218696</v>
      </c>
      <c r="C237">
        <v>12.874459130021799</v>
      </c>
    </row>
    <row r="238" spans="1:3" x14ac:dyDescent="0.2">
      <c r="A238">
        <v>0.8868408203125</v>
      </c>
      <c r="B238">
        <v>2.57489297320268</v>
      </c>
      <c r="C238">
        <v>18.574892973202601</v>
      </c>
    </row>
    <row r="239" spans="1:3" x14ac:dyDescent="0.2">
      <c r="A239">
        <v>0.583740234375</v>
      </c>
      <c r="B239">
        <v>1.6115878350755199</v>
      </c>
      <c r="C239">
        <v>39.611587835075497</v>
      </c>
    </row>
    <row r="240" spans="1:3" x14ac:dyDescent="0.2">
      <c r="A240">
        <v>0.501953125</v>
      </c>
      <c r="B240">
        <v>2.6422526281885501</v>
      </c>
      <c r="C240">
        <v>104.642252628188</v>
      </c>
    </row>
    <row r="241" spans="1:3" x14ac:dyDescent="0.2">
      <c r="A241">
        <v>0.900634765625</v>
      </c>
      <c r="B241">
        <v>14.967053837257099</v>
      </c>
      <c r="C241">
        <v>94.967053837257097</v>
      </c>
    </row>
    <row r="242" spans="1:3" x14ac:dyDescent="0.2">
      <c r="A242">
        <v>0.6512451171875</v>
      </c>
      <c r="B242">
        <v>5.3803734497070499</v>
      </c>
      <c r="C242">
        <v>43.380373449707001</v>
      </c>
    </row>
    <row r="243" spans="1:3" x14ac:dyDescent="0.2">
      <c r="A243">
        <v>0.83233642578125</v>
      </c>
      <c r="B243">
        <v>2.7532159346120002</v>
      </c>
      <c r="C243">
        <v>8.7532159346119993</v>
      </c>
    </row>
    <row r="244" spans="1:3" x14ac:dyDescent="0.2">
      <c r="A244">
        <v>0.64886474609375</v>
      </c>
      <c r="B244">
        <v>5.13743638534923</v>
      </c>
      <c r="C244">
        <v>43.137436385349197</v>
      </c>
    </row>
    <row r="245" spans="1:3" x14ac:dyDescent="0.2">
      <c r="A245">
        <v>0.97222900390625</v>
      </c>
      <c r="B245">
        <v>0.58918127064438697</v>
      </c>
      <c r="C245">
        <v>38.589181270644303</v>
      </c>
    </row>
    <row r="246" spans="1:3" x14ac:dyDescent="0.2">
      <c r="A246">
        <v>0.93524169921875</v>
      </c>
      <c r="B246">
        <v>0.120722402037965</v>
      </c>
      <c r="C246">
        <v>38.120722402037899</v>
      </c>
    </row>
    <row r="247" spans="1:3" x14ac:dyDescent="0.2">
      <c r="A247">
        <v>0.6361083984375</v>
      </c>
      <c r="B247">
        <v>11.7445872351362</v>
      </c>
      <c r="C247">
        <v>17.744587235136201</v>
      </c>
    </row>
    <row r="248" spans="1:3" x14ac:dyDescent="0.2">
      <c r="A248">
        <v>0.99896240234375</v>
      </c>
      <c r="B248">
        <v>16.8394028038533</v>
      </c>
      <c r="C248">
        <v>64.839402803853304</v>
      </c>
    </row>
    <row r="249" spans="1:3" x14ac:dyDescent="0.2">
      <c r="A249">
        <v>0.55279541015625</v>
      </c>
      <c r="B249">
        <v>14.514264323853601</v>
      </c>
      <c r="C249">
        <v>52.514264323853602</v>
      </c>
    </row>
    <row r="250" spans="1:3" x14ac:dyDescent="0.2">
      <c r="A250">
        <v>0.550048828125</v>
      </c>
      <c r="B250">
        <v>2.61398835952778</v>
      </c>
      <c r="C250">
        <v>8.6139883595277809</v>
      </c>
    </row>
    <row r="251" spans="1:3" x14ac:dyDescent="0.2">
      <c r="A251">
        <v>0.65252685546875</v>
      </c>
      <c r="B251">
        <v>24.686749636904999</v>
      </c>
      <c r="C251">
        <v>30.686749636904999</v>
      </c>
    </row>
    <row r="252" spans="1:3" x14ac:dyDescent="0.2">
      <c r="A252">
        <v>0.9178466796875</v>
      </c>
      <c r="B252">
        <v>1.8672769213510001</v>
      </c>
      <c r="C252">
        <v>7.8672769213510003</v>
      </c>
    </row>
    <row r="253" spans="1:3" x14ac:dyDescent="0.2">
      <c r="A253">
        <v>0.78857421875</v>
      </c>
      <c r="B253">
        <v>15.806446057812</v>
      </c>
      <c r="C253">
        <v>53.806446057812003</v>
      </c>
    </row>
    <row r="254" spans="1:3" x14ac:dyDescent="0.2">
      <c r="A254">
        <v>0.70843505859375</v>
      </c>
      <c r="B254">
        <v>5.5536366387399596</v>
      </c>
      <c r="C254">
        <v>11.553636638739899</v>
      </c>
    </row>
    <row r="255" spans="1:3" x14ac:dyDescent="0.2">
      <c r="A255">
        <v>0.61773681640625</v>
      </c>
      <c r="B255">
        <v>9.0625775827342103</v>
      </c>
      <c r="C255">
        <v>25.0625775827342</v>
      </c>
    </row>
    <row r="256" spans="1:3" x14ac:dyDescent="0.2">
      <c r="A256">
        <v>0.882568359375</v>
      </c>
      <c r="B256">
        <v>7.4804803690790598</v>
      </c>
      <c r="C256">
        <v>13.480480369079</v>
      </c>
    </row>
    <row r="257" spans="1:3" x14ac:dyDescent="0.2">
      <c r="A257">
        <v>0.97918701171875</v>
      </c>
      <c r="B257">
        <v>0.56305421114291998</v>
      </c>
      <c r="C257">
        <v>6.5630542111429202</v>
      </c>
    </row>
    <row r="258" spans="1:3" x14ac:dyDescent="0.2">
      <c r="A258">
        <v>0.9964599609375</v>
      </c>
      <c r="B258">
        <v>7.0221331962226303</v>
      </c>
      <c r="C258">
        <v>13.022133196222599</v>
      </c>
    </row>
    <row r="259" spans="1:3" x14ac:dyDescent="0.2">
      <c r="A259">
        <v>0.86309814453125</v>
      </c>
      <c r="B259">
        <v>3.0536047537892799</v>
      </c>
      <c r="C259">
        <v>9.0536047537892799</v>
      </c>
    </row>
    <row r="260" spans="1:3" x14ac:dyDescent="0.2">
      <c r="A260">
        <v>0.7408447265625</v>
      </c>
      <c r="B260">
        <v>12.9253976695665</v>
      </c>
      <c r="C260">
        <v>82.925397669566493</v>
      </c>
    </row>
    <row r="261" spans="1:3" x14ac:dyDescent="0.2">
      <c r="A261">
        <v>0.886962890625</v>
      </c>
      <c r="B261">
        <v>1.9816331050901299</v>
      </c>
      <c r="C261">
        <v>39.981633105090097</v>
      </c>
    </row>
    <row r="262" spans="1:3" x14ac:dyDescent="0.2">
      <c r="A262">
        <v>0.92236328125</v>
      </c>
      <c r="B262">
        <v>9.3273289648545905</v>
      </c>
      <c r="C262">
        <v>111.327328964854</v>
      </c>
    </row>
    <row r="263" spans="1:3" x14ac:dyDescent="0.2">
      <c r="A263">
        <v>0.9522705078125</v>
      </c>
      <c r="B263">
        <v>1.9213098182744499</v>
      </c>
      <c r="C263">
        <v>39.921309818274402</v>
      </c>
    </row>
    <row r="264" spans="1:3" x14ac:dyDescent="0.2">
      <c r="A264">
        <v>0.5443115234375</v>
      </c>
      <c r="B264">
        <v>3.5374479991668002</v>
      </c>
      <c r="C264">
        <v>83.537447999166801</v>
      </c>
    </row>
    <row r="265" spans="1:3" x14ac:dyDescent="0.2">
      <c r="A265">
        <v>0.55548095703125</v>
      </c>
      <c r="B265">
        <v>9.8700244704031004</v>
      </c>
      <c r="C265">
        <v>15.8700244704031</v>
      </c>
    </row>
    <row r="266" spans="1:3" x14ac:dyDescent="0.2">
      <c r="A266">
        <v>0.8720703125</v>
      </c>
      <c r="B266">
        <v>18.7056115358684</v>
      </c>
      <c r="C266">
        <v>24.7056115358684</v>
      </c>
    </row>
    <row r="267" spans="1:3" x14ac:dyDescent="0.2">
      <c r="A267">
        <v>0.99310302734375</v>
      </c>
      <c r="B267">
        <v>8.1259480839085096</v>
      </c>
      <c r="C267">
        <v>14.125948083908501</v>
      </c>
    </row>
    <row r="268" spans="1:3" x14ac:dyDescent="0.2">
      <c r="A268">
        <v>0.71881103515625</v>
      </c>
      <c r="B268">
        <v>17.956633241807399</v>
      </c>
      <c r="C268">
        <v>55.956633241807403</v>
      </c>
    </row>
    <row r="269" spans="1:3" x14ac:dyDescent="0.2">
      <c r="A269">
        <v>0.911376953125</v>
      </c>
      <c r="B269">
        <v>15.7491667127801</v>
      </c>
      <c r="C269">
        <v>21.749166712780099</v>
      </c>
    </row>
    <row r="270" spans="1:3" x14ac:dyDescent="0.2">
      <c r="A270">
        <v>0.61541748046875</v>
      </c>
      <c r="B270">
        <v>4.02522212276806</v>
      </c>
      <c r="C270">
        <v>10.025222122768</v>
      </c>
    </row>
    <row r="271" spans="1:3" x14ac:dyDescent="0.2">
      <c r="A271">
        <v>0.74365234375</v>
      </c>
      <c r="B271">
        <v>3.5148481971951901</v>
      </c>
      <c r="C271">
        <v>29.5148481971951</v>
      </c>
    </row>
    <row r="272" spans="1:3" x14ac:dyDescent="0.2">
      <c r="A272">
        <v>0.72125244140625</v>
      </c>
      <c r="B272">
        <v>4.70154643369351</v>
      </c>
      <c r="C272">
        <v>30.701546433693501</v>
      </c>
    </row>
    <row r="273" spans="1:3" x14ac:dyDescent="0.2">
      <c r="A273">
        <v>0.931396484375</v>
      </c>
      <c r="B273">
        <v>15.501402076470599</v>
      </c>
      <c r="C273">
        <v>21.501402076470601</v>
      </c>
    </row>
    <row r="274" spans="1:3" x14ac:dyDescent="0.2">
      <c r="A274">
        <v>3.7109375E-2</v>
      </c>
      <c r="B274">
        <v>15.501402076470599</v>
      </c>
      <c r="C274">
        <v>84</v>
      </c>
    </row>
    <row r="275" spans="1:3" x14ac:dyDescent="0.2">
      <c r="A275">
        <v>0.8677978515625</v>
      </c>
      <c r="B275">
        <v>4.9667142720419601</v>
      </c>
      <c r="C275">
        <v>20.966714272041902</v>
      </c>
    </row>
    <row r="276" spans="1:3" x14ac:dyDescent="0.2">
      <c r="A276">
        <v>0.623291015625</v>
      </c>
      <c r="B276">
        <v>14.9415869346596</v>
      </c>
      <c r="C276">
        <v>52.941586934659597</v>
      </c>
    </row>
    <row r="277" spans="1:3" x14ac:dyDescent="0.2">
      <c r="A277">
        <v>0.8426513671875</v>
      </c>
      <c r="B277">
        <v>11.1867014165929</v>
      </c>
      <c r="C277">
        <v>49.186701416592904</v>
      </c>
    </row>
    <row r="278" spans="1:3" x14ac:dyDescent="0.2">
      <c r="A278">
        <v>0.60186767578125</v>
      </c>
      <c r="B278">
        <v>3.6779277568277</v>
      </c>
      <c r="C278">
        <v>9.6779277568276996</v>
      </c>
    </row>
    <row r="279" spans="1:3" x14ac:dyDescent="0.2">
      <c r="A279">
        <v>0.51214599609375</v>
      </c>
      <c r="B279">
        <v>3.9710551866955299</v>
      </c>
      <c r="C279">
        <v>41.971055186695502</v>
      </c>
    </row>
    <row r="280" spans="1:3" x14ac:dyDescent="0.2">
      <c r="A280">
        <v>0.73602294921875</v>
      </c>
      <c r="B280">
        <v>16.750337575593399</v>
      </c>
      <c r="C280">
        <v>96.750337575593406</v>
      </c>
    </row>
    <row r="281" spans="1:3" x14ac:dyDescent="0.2">
      <c r="A281">
        <v>0.75274658203125</v>
      </c>
      <c r="B281">
        <v>6.88615440410803</v>
      </c>
      <c r="C281">
        <v>44.886154404107998</v>
      </c>
    </row>
    <row r="282" spans="1:3" x14ac:dyDescent="0.2">
      <c r="A282">
        <v>0.8896484375</v>
      </c>
      <c r="B282">
        <v>5.59442723791574</v>
      </c>
      <c r="C282">
        <v>11.594427237915699</v>
      </c>
    </row>
    <row r="283" spans="1:3" x14ac:dyDescent="0.2">
      <c r="A283">
        <v>0.73724365234375</v>
      </c>
      <c r="B283">
        <v>13.3991434012519</v>
      </c>
      <c r="C283">
        <v>19.399143401251902</v>
      </c>
    </row>
    <row r="284" spans="1:3" x14ac:dyDescent="0.2">
      <c r="A284">
        <v>0.7125244140625</v>
      </c>
      <c r="B284">
        <v>3.57290727145933</v>
      </c>
      <c r="C284">
        <v>9.5729072714593304</v>
      </c>
    </row>
    <row r="285" spans="1:3" x14ac:dyDescent="0.2">
      <c r="A285">
        <v>0.63482666015625</v>
      </c>
      <c r="B285">
        <v>3.9201774712033699</v>
      </c>
      <c r="C285">
        <v>9.9201774712033703</v>
      </c>
    </row>
    <row r="286" spans="1:3" x14ac:dyDescent="0.2">
      <c r="A286">
        <v>0.13800048828125</v>
      </c>
      <c r="B286">
        <v>45.454301582781497</v>
      </c>
      <c r="C286">
        <v>84</v>
      </c>
    </row>
    <row r="287" spans="1:3" x14ac:dyDescent="0.2">
      <c r="A287">
        <v>0.7052001953125</v>
      </c>
      <c r="B287">
        <v>15.776408495194501</v>
      </c>
      <c r="C287">
        <v>85.776408495194502</v>
      </c>
    </row>
    <row r="288" spans="1:3" x14ac:dyDescent="0.2">
      <c r="A288">
        <v>0.57476806640625</v>
      </c>
      <c r="B288">
        <v>0.48958927918310202</v>
      </c>
      <c r="C288">
        <v>6.4895892791831002</v>
      </c>
    </row>
    <row r="289" spans="1:3" x14ac:dyDescent="0.2">
      <c r="A289">
        <v>0.730224609375</v>
      </c>
      <c r="B289">
        <v>2.6021553855344801</v>
      </c>
      <c r="C289">
        <v>8.6021553855344806</v>
      </c>
    </row>
    <row r="290" spans="1:3" x14ac:dyDescent="0.2">
      <c r="A290">
        <v>0.52996826171875</v>
      </c>
      <c r="B290">
        <v>5.94505923003371</v>
      </c>
      <c r="C290">
        <v>11.945059230033699</v>
      </c>
    </row>
    <row r="291" spans="1:3" x14ac:dyDescent="0.2">
      <c r="A291">
        <v>0.76556396484375</v>
      </c>
      <c r="B291">
        <v>0.25164361139149</v>
      </c>
      <c r="C291">
        <v>102.251643611391</v>
      </c>
    </row>
    <row r="292" spans="1:3" x14ac:dyDescent="0.2">
      <c r="A292">
        <v>0.84100341796875</v>
      </c>
      <c r="B292">
        <v>3.4190275951766198</v>
      </c>
      <c r="C292">
        <v>83.419027595176601</v>
      </c>
    </row>
    <row r="293" spans="1:3" x14ac:dyDescent="0.2">
      <c r="A293">
        <v>0.56878662109375</v>
      </c>
      <c r="B293">
        <v>1.30475881133127</v>
      </c>
      <c r="C293">
        <v>81.304758811331197</v>
      </c>
    </row>
    <row r="294" spans="1:3" x14ac:dyDescent="0.2">
      <c r="A294">
        <v>0.90777587890625</v>
      </c>
      <c r="B294">
        <v>13.9367344853995</v>
      </c>
      <c r="C294">
        <v>51.936734485399498</v>
      </c>
    </row>
    <row r="295" spans="1:3" x14ac:dyDescent="0.2">
      <c r="A295">
        <v>0.660888671875</v>
      </c>
      <c r="B295">
        <v>8.32069621190543</v>
      </c>
      <c r="C295">
        <v>14.3206962119054</v>
      </c>
    </row>
    <row r="296" spans="1:3" x14ac:dyDescent="0.2">
      <c r="A296">
        <v>0.6107177734375</v>
      </c>
      <c r="B296">
        <v>9.3384880490197499</v>
      </c>
      <c r="C296">
        <v>47.338488049019702</v>
      </c>
    </row>
    <row r="297" spans="1:3" x14ac:dyDescent="0.2">
      <c r="A297">
        <v>0.70001220703125</v>
      </c>
      <c r="B297">
        <v>2.3296105969013601</v>
      </c>
      <c r="C297">
        <v>8.3296105969013592</v>
      </c>
    </row>
    <row r="298" spans="1:3" x14ac:dyDescent="0.2">
      <c r="A298">
        <v>0.6572265625</v>
      </c>
      <c r="B298">
        <v>0.16965062204391201</v>
      </c>
      <c r="C298">
        <v>6.1696506220439096</v>
      </c>
    </row>
    <row r="299" spans="1:3" x14ac:dyDescent="0.2">
      <c r="A299">
        <v>0.9644775390625</v>
      </c>
      <c r="B299">
        <v>11.214640893707999</v>
      </c>
      <c r="C299">
        <v>49.214640893708001</v>
      </c>
    </row>
    <row r="300" spans="1:3" x14ac:dyDescent="0.2">
      <c r="A300">
        <v>0.79119873046875</v>
      </c>
      <c r="B300">
        <v>2.5776164289771302</v>
      </c>
      <c r="C300">
        <v>72.577616428977095</v>
      </c>
    </row>
    <row r="301" spans="1:3" x14ac:dyDescent="0.2">
      <c r="A301">
        <v>0.90380859375</v>
      </c>
      <c r="B301">
        <v>22.940539244714302</v>
      </c>
      <c r="C301">
        <v>70.940539244714302</v>
      </c>
    </row>
    <row r="302" spans="1:3" x14ac:dyDescent="0.2">
      <c r="A302">
        <v>0.279052734375</v>
      </c>
      <c r="B302">
        <v>22.940539244714302</v>
      </c>
      <c r="C302">
        <v>84</v>
      </c>
    </row>
    <row r="303" spans="1:3" x14ac:dyDescent="0.2">
      <c r="A303">
        <v>0.572265625</v>
      </c>
      <c r="B303">
        <v>5.7353428409722698</v>
      </c>
      <c r="C303">
        <v>63.735342840972201</v>
      </c>
    </row>
    <row r="304" spans="1:3" x14ac:dyDescent="0.2">
      <c r="A304">
        <v>0.345947265625</v>
      </c>
      <c r="B304">
        <v>5.7353428409722698</v>
      </c>
      <c r="C304">
        <v>84</v>
      </c>
    </row>
    <row r="305" spans="1:3" x14ac:dyDescent="0.2">
      <c r="A305">
        <v>0.16259765625</v>
      </c>
      <c r="B305">
        <v>5.7353428409722698</v>
      </c>
      <c r="C305">
        <v>62</v>
      </c>
    </row>
    <row r="306" spans="1:3" x14ac:dyDescent="0.2">
      <c r="A306">
        <v>0.584716796875</v>
      </c>
      <c r="B306">
        <v>15.8310782936249</v>
      </c>
      <c r="C306">
        <v>95.831078293624898</v>
      </c>
    </row>
    <row r="307" spans="1:3" x14ac:dyDescent="0.2">
      <c r="A307">
        <v>0.53680419921875</v>
      </c>
      <c r="B307">
        <v>9.5817668381949996</v>
      </c>
      <c r="C307">
        <v>15.581766838195</v>
      </c>
    </row>
    <row r="308" spans="1:3" x14ac:dyDescent="0.2">
      <c r="A308">
        <v>0.7689208984375</v>
      </c>
      <c r="B308">
        <v>0.961855340652229</v>
      </c>
      <c r="C308">
        <v>6.9618553406522299</v>
      </c>
    </row>
    <row r="309" spans="1:3" x14ac:dyDescent="0.2">
      <c r="A309">
        <v>0.9664306640625</v>
      </c>
      <c r="B309">
        <v>8.9015636846696697</v>
      </c>
      <c r="C309">
        <v>88.901563684669597</v>
      </c>
    </row>
    <row r="310" spans="1:3" x14ac:dyDescent="0.2">
      <c r="A310">
        <v>0.71685791015625</v>
      </c>
      <c r="B310">
        <v>11.3553224580607</v>
      </c>
      <c r="C310">
        <v>17.355322458060702</v>
      </c>
    </row>
    <row r="311" spans="1:3" x14ac:dyDescent="0.2">
      <c r="A311">
        <v>0.8006591796875</v>
      </c>
      <c r="B311">
        <v>0.73001342614674003</v>
      </c>
      <c r="C311">
        <v>48.730013426146698</v>
      </c>
    </row>
    <row r="312" spans="1:3" x14ac:dyDescent="0.2">
      <c r="A312">
        <v>0.65753173828125</v>
      </c>
      <c r="B312">
        <v>16.688382920458</v>
      </c>
      <c r="C312">
        <v>22.688382920458</v>
      </c>
    </row>
    <row r="313" spans="1:3" x14ac:dyDescent="0.2">
      <c r="A313">
        <v>0.93499755859375</v>
      </c>
      <c r="B313">
        <v>5.1903718506075496</v>
      </c>
      <c r="C313">
        <v>21.190371850607502</v>
      </c>
    </row>
    <row r="314" spans="1:3" x14ac:dyDescent="0.2">
      <c r="A314">
        <v>0.53179931640625</v>
      </c>
      <c r="B314">
        <v>1.2168940119982501</v>
      </c>
      <c r="C314">
        <v>39.2168940119982</v>
      </c>
    </row>
    <row r="315" spans="1:3" x14ac:dyDescent="0.2">
      <c r="A315">
        <v>0.577880859375</v>
      </c>
      <c r="B315">
        <v>9.1344902523517497</v>
      </c>
      <c r="C315">
        <v>15.1344902523517</v>
      </c>
    </row>
    <row r="316" spans="1:3" x14ac:dyDescent="0.2">
      <c r="A316">
        <v>0.65216064453125</v>
      </c>
      <c r="B316">
        <v>2.3029597123904901</v>
      </c>
      <c r="C316">
        <v>50.302959712390397</v>
      </c>
    </row>
    <row r="317" spans="1:3" x14ac:dyDescent="0.2">
      <c r="A317">
        <v>0.7486572265625</v>
      </c>
      <c r="B317">
        <v>16.5887486484508</v>
      </c>
      <c r="C317">
        <v>86.588748648450803</v>
      </c>
    </row>
    <row r="318" spans="1:3" x14ac:dyDescent="0.2">
      <c r="A318">
        <v>0.7547607421875</v>
      </c>
      <c r="B318">
        <v>18.396316063604999</v>
      </c>
      <c r="C318">
        <v>120.396316063605</v>
      </c>
    </row>
    <row r="319" spans="1:3" x14ac:dyDescent="0.2">
      <c r="A319">
        <v>0.88116455078125</v>
      </c>
      <c r="B319">
        <v>14.324286741253401</v>
      </c>
      <c r="C319">
        <v>20.324286741253399</v>
      </c>
    </row>
    <row r="320" spans="1:3" x14ac:dyDescent="0.2">
      <c r="A320">
        <v>0.74267578125</v>
      </c>
      <c r="B320">
        <v>4.3955384112937503</v>
      </c>
      <c r="C320">
        <v>10.3955384112937</v>
      </c>
    </row>
    <row r="321" spans="1:3" x14ac:dyDescent="0.2">
      <c r="A321">
        <v>0.93206787109375</v>
      </c>
      <c r="B321">
        <v>1.69986989378402</v>
      </c>
      <c r="C321">
        <v>7.6998698937840198</v>
      </c>
    </row>
    <row r="322" spans="1:3" x14ac:dyDescent="0.2">
      <c r="A322">
        <v>0.7100830078125</v>
      </c>
      <c r="B322">
        <v>11.775811842117999</v>
      </c>
      <c r="C322">
        <v>17.775811842117999</v>
      </c>
    </row>
    <row r="323" spans="1:3" x14ac:dyDescent="0.2">
      <c r="A323">
        <v>0.61480712890625</v>
      </c>
      <c r="B323">
        <v>1.1796646033006599</v>
      </c>
      <c r="C323">
        <v>7.1796646033006599</v>
      </c>
    </row>
    <row r="324" spans="1:3" x14ac:dyDescent="0.2">
      <c r="A324">
        <v>0.6771240234375</v>
      </c>
      <c r="B324">
        <v>0.74091543857732001</v>
      </c>
      <c r="C324">
        <v>48.740915438577296</v>
      </c>
    </row>
    <row r="325" spans="1:3" x14ac:dyDescent="0.2">
      <c r="A325">
        <v>0.84454345703125</v>
      </c>
      <c r="B325">
        <v>19.809712491481601</v>
      </c>
      <c r="C325">
        <v>25.809712491481601</v>
      </c>
    </row>
    <row r="326" spans="1:3" x14ac:dyDescent="0.2">
      <c r="A326">
        <v>0.7183837890625</v>
      </c>
      <c r="B326">
        <v>24.353316365698401</v>
      </c>
      <c r="C326">
        <v>94.353316365698404</v>
      </c>
    </row>
    <row r="327" spans="1:3" x14ac:dyDescent="0.2">
      <c r="A327">
        <v>0.88287353515625</v>
      </c>
      <c r="B327">
        <v>2.5223606227215498</v>
      </c>
      <c r="C327">
        <v>8.5223606227215498</v>
      </c>
    </row>
    <row r="328" spans="1:3" x14ac:dyDescent="0.2">
      <c r="A328">
        <v>0.856689453125</v>
      </c>
      <c r="B328">
        <v>16.475471757434299</v>
      </c>
      <c r="C328">
        <v>22.475471757434299</v>
      </c>
    </row>
    <row r="329" spans="1:3" x14ac:dyDescent="0.2">
      <c r="A329">
        <v>0.96697998046875</v>
      </c>
      <c r="B329">
        <v>4.97890770526514</v>
      </c>
      <c r="C329">
        <v>10.978907705265099</v>
      </c>
    </row>
    <row r="330" spans="1:3" x14ac:dyDescent="0.2">
      <c r="A330">
        <v>0.8963623046875</v>
      </c>
      <c r="B330">
        <v>4.7493249783970404</v>
      </c>
      <c r="C330">
        <v>10.749324978397</v>
      </c>
    </row>
    <row r="331" spans="1:3" x14ac:dyDescent="0.2">
      <c r="A331">
        <v>0.2735595703125</v>
      </c>
      <c r="B331">
        <v>4.7493249783970404</v>
      </c>
      <c r="C331">
        <v>84</v>
      </c>
    </row>
    <row r="332" spans="1:3" x14ac:dyDescent="0.2">
      <c r="A332">
        <v>0.63531494140625</v>
      </c>
      <c r="B332">
        <v>0.58072217195707898</v>
      </c>
      <c r="C332">
        <v>6.5807221719570697</v>
      </c>
    </row>
    <row r="333" spans="1:3" x14ac:dyDescent="0.2">
      <c r="A333">
        <v>0.626708984375</v>
      </c>
      <c r="B333">
        <v>13.6546405704165</v>
      </c>
      <c r="C333">
        <v>19.6546405704165</v>
      </c>
    </row>
    <row r="334" spans="1:3" x14ac:dyDescent="0.2">
      <c r="A334">
        <v>0.9124755859375</v>
      </c>
      <c r="B334">
        <v>4.0940490888332004</v>
      </c>
      <c r="C334">
        <v>42.094049088833202</v>
      </c>
    </row>
    <row r="335" spans="1:3" x14ac:dyDescent="0.2">
      <c r="A335">
        <v>0.97442626953125</v>
      </c>
      <c r="B335">
        <v>20.083811588504901</v>
      </c>
      <c r="C335">
        <v>26.083811588504901</v>
      </c>
    </row>
    <row r="336" spans="1:3" x14ac:dyDescent="0.2">
      <c r="A336">
        <v>0.8756103515625</v>
      </c>
      <c r="B336">
        <v>15.6732170921603</v>
      </c>
      <c r="C336">
        <v>41.6732170921603</v>
      </c>
    </row>
    <row r="337" spans="1:3" x14ac:dyDescent="0.2">
      <c r="A337">
        <v>0.2254638671875</v>
      </c>
      <c r="B337">
        <v>15.6732170921603</v>
      </c>
      <c r="C337">
        <v>84</v>
      </c>
    </row>
    <row r="338" spans="1:3" x14ac:dyDescent="0.2">
      <c r="A338">
        <v>2.45361328125E-2</v>
      </c>
      <c r="B338">
        <v>15.6732170921603</v>
      </c>
      <c r="C338">
        <v>62</v>
      </c>
    </row>
    <row r="339" spans="1:3" x14ac:dyDescent="0.2">
      <c r="A339">
        <v>0.59332275390625</v>
      </c>
      <c r="B339">
        <v>2.2498348562009198</v>
      </c>
      <c r="C339">
        <v>8.2498348562009198</v>
      </c>
    </row>
    <row r="340" spans="1:3" x14ac:dyDescent="0.2">
      <c r="A340">
        <v>0.682373046875</v>
      </c>
      <c r="B340">
        <v>2.9660715212378999</v>
      </c>
      <c r="C340">
        <v>8.9660715212379003</v>
      </c>
    </row>
    <row r="341" spans="1:3" x14ac:dyDescent="0.2">
      <c r="A341">
        <v>0.4599609375</v>
      </c>
      <c r="B341">
        <v>2.9660715212378999</v>
      </c>
      <c r="C341">
        <v>106</v>
      </c>
    </row>
    <row r="342" spans="1:3" x14ac:dyDescent="0.2">
      <c r="A342">
        <v>0.79888916015625</v>
      </c>
      <c r="B342">
        <v>1.7803076618951099</v>
      </c>
      <c r="C342">
        <v>71.780307661895094</v>
      </c>
    </row>
    <row r="343" spans="1:3" x14ac:dyDescent="0.2">
      <c r="A343">
        <v>0.968017578125</v>
      </c>
      <c r="B343">
        <v>4.2412393249919402</v>
      </c>
      <c r="C343">
        <v>10.2412393249919</v>
      </c>
    </row>
    <row r="344" spans="1:3" x14ac:dyDescent="0.2">
      <c r="A344">
        <v>0.67987060546875</v>
      </c>
      <c r="B344">
        <v>9.1501806311562</v>
      </c>
      <c r="C344">
        <v>15.1501806311562</v>
      </c>
    </row>
    <row r="345" spans="1:3" x14ac:dyDescent="0.2">
      <c r="A345">
        <v>0.7420654296875</v>
      </c>
      <c r="B345">
        <v>14.1277574834182</v>
      </c>
      <c r="C345">
        <v>20.1277574834182</v>
      </c>
    </row>
    <row r="346" spans="1:3" x14ac:dyDescent="0.2">
      <c r="A346">
        <v>0.76904296875</v>
      </c>
      <c r="B346">
        <v>1.4749860962221399</v>
      </c>
      <c r="C346">
        <v>17.4749860962221</v>
      </c>
    </row>
    <row r="347" spans="1:3" x14ac:dyDescent="0.2">
      <c r="A347">
        <v>0.54827880859375</v>
      </c>
      <c r="B347">
        <v>20.284636620078501</v>
      </c>
      <c r="C347">
        <v>26.284636620078501</v>
      </c>
    </row>
    <row r="348" spans="1:3" x14ac:dyDescent="0.2">
      <c r="A348">
        <v>0.9630126953125</v>
      </c>
      <c r="B348">
        <v>0.99602641768126499</v>
      </c>
      <c r="C348">
        <v>6.9960264176812599</v>
      </c>
    </row>
    <row r="349" spans="1:3" x14ac:dyDescent="0.2">
      <c r="A349">
        <v>0.63153076171875</v>
      </c>
      <c r="B349">
        <v>3.7808640532248701</v>
      </c>
      <c r="C349">
        <v>73.780864053224803</v>
      </c>
    </row>
    <row r="350" spans="1:3" x14ac:dyDescent="0.2">
      <c r="A350">
        <v>0.9456787109375</v>
      </c>
      <c r="B350">
        <v>9.8051819156772808</v>
      </c>
      <c r="C350">
        <v>15.805181915677201</v>
      </c>
    </row>
    <row r="351" spans="1:3" x14ac:dyDescent="0.2">
      <c r="A351">
        <v>0.74212646484375</v>
      </c>
      <c r="B351">
        <v>5.0791403065738798</v>
      </c>
      <c r="C351">
        <v>53.079140306573798</v>
      </c>
    </row>
    <row r="352" spans="1:3" x14ac:dyDescent="0.2">
      <c r="A352">
        <v>0.7525634765625</v>
      </c>
      <c r="B352">
        <v>1.5597627336264099</v>
      </c>
      <c r="C352">
        <v>7.5597627336264104</v>
      </c>
    </row>
    <row r="353" spans="1:3" x14ac:dyDescent="0.2">
      <c r="A353">
        <v>0.554931640625</v>
      </c>
      <c r="B353">
        <v>8.7229685163691499</v>
      </c>
      <c r="C353">
        <v>24.7229685163691</v>
      </c>
    </row>
    <row r="354" spans="1:3" x14ac:dyDescent="0.2">
      <c r="A354">
        <v>0.69256591796875</v>
      </c>
      <c r="B354">
        <v>3.9130717737491998</v>
      </c>
      <c r="C354">
        <v>9.9130717737492002</v>
      </c>
    </row>
    <row r="355" spans="1:3" x14ac:dyDescent="0.2">
      <c r="A355">
        <v>0.29534912109375</v>
      </c>
      <c r="B355">
        <v>3.9130717737491998</v>
      </c>
      <c r="C355">
        <v>84</v>
      </c>
    </row>
    <row r="356" spans="1:3" x14ac:dyDescent="0.2">
      <c r="A356">
        <v>0.36297607421875</v>
      </c>
      <c r="B356">
        <v>35.676509128285801</v>
      </c>
      <c r="C356">
        <v>106</v>
      </c>
    </row>
    <row r="357" spans="1:3" x14ac:dyDescent="0.2">
      <c r="A357">
        <v>0.70794677734375</v>
      </c>
      <c r="B357">
        <v>1.1063536438577899</v>
      </c>
      <c r="C357">
        <v>103.10635364385701</v>
      </c>
    </row>
    <row r="358" spans="1:3" x14ac:dyDescent="0.2">
      <c r="A358">
        <v>0.829345703125</v>
      </c>
      <c r="B358">
        <v>14.028329019535899</v>
      </c>
      <c r="C358">
        <v>84.028329019535903</v>
      </c>
    </row>
    <row r="359" spans="1:3" x14ac:dyDescent="0.2">
      <c r="A359">
        <v>0.22412109375</v>
      </c>
      <c r="B359">
        <v>14.028329019535899</v>
      </c>
      <c r="C359">
        <v>84</v>
      </c>
    </row>
    <row r="360" spans="1:3" x14ac:dyDescent="0.2">
      <c r="A360">
        <v>0.974365234375</v>
      </c>
      <c r="B360">
        <v>34.727016932689097</v>
      </c>
      <c r="C360">
        <v>106</v>
      </c>
    </row>
    <row r="361" spans="1:3" x14ac:dyDescent="0.2">
      <c r="A361">
        <v>0.53192138671875</v>
      </c>
      <c r="B361">
        <v>3.6649983286985899</v>
      </c>
      <c r="C361">
        <v>9.6649983286985908</v>
      </c>
    </row>
    <row r="362" spans="1:3" x14ac:dyDescent="0.2">
      <c r="A362">
        <v>0.7288818359375</v>
      </c>
      <c r="B362">
        <v>19.327179040056599</v>
      </c>
      <c r="C362">
        <v>25.327179040056599</v>
      </c>
    </row>
    <row r="363" spans="1:3" x14ac:dyDescent="0.2">
      <c r="A363">
        <v>0.86895751953125</v>
      </c>
      <c r="B363">
        <v>11.899554652349901</v>
      </c>
      <c r="C363">
        <v>17.899554652349899</v>
      </c>
    </row>
    <row r="364" spans="1:3" x14ac:dyDescent="0.2">
      <c r="A364">
        <v>0.642578125</v>
      </c>
      <c r="B364">
        <v>5.1723250382955301</v>
      </c>
      <c r="C364">
        <v>11.172325038295501</v>
      </c>
    </row>
    <row r="365" spans="1:3" x14ac:dyDescent="0.2">
      <c r="A365">
        <v>0.791259765625</v>
      </c>
      <c r="B365">
        <v>3.0933461558277702</v>
      </c>
      <c r="C365">
        <v>83.093346155827703</v>
      </c>
    </row>
    <row r="366" spans="1:3" x14ac:dyDescent="0.2">
      <c r="A366">
        <v>0.91046142578125</v>
      </c>
      <c r="B366">
        <v>21.2948880542993</v>
      </c>
      <c r="C366">
        <v>69.294888054299307</v>
      </c>
    </row>
    <row r="367" spans="1:3" x14ac:dyDescent="0.2">
      <c r="A367">
        <v>0.98291015625</v>
      </c>
      <c r="B367">
        <v>8.3603220046545399</v>
      </c>
      <c r="C367">
        <v>14.360322004654501</v>
      </c>
    </row>
    <row r="368" spans="1:3" x14ac:dyDescent="0.2">
      <c r="A368">
        <v>0.9034423828125</v>
      </c>
      <c r="B368">
        <v>6.7800162944161801</v>
      </c>
      <c r="C368">
        <v>22.7800162944161</v>
      </c>
    </row>
    <row r="369" spans="1:3" x14ac:dyDescent="0.2">
      <c r="A369">
        <v>0.80035400390625</v>
      </c>
      <c r="B369">
        <v>2.4045495067150999</v>
      </c>
      <c r="C369">
        <v>8.4045495067150995</v>
      </c>
    </row>
    <row r="370" spans="1:3" x14ac:dyDescent="0.2">
      <c r="A370">
        <v>0.780029296875</v>
      </c>
      <c r="B370">
        <v>5.2821526672202603</v>
      </c>
      <c r="C370">
        <v>11.282152667220201</v>
      </c>
    </row>
    <row r="371" spans="1:3" x14ac:dyDescent="0.2">
      <c r="A371">
        <v>0.9017333984375</v>
      </c>
      <c r="B371">
        <v>14.9365000333541</v>
      </c>
      <c r="C371">
        <v>30.9365000333541</v>
      </c>
    </row>
    <row r="372" spans="1:3" x14ac:dyDescent="0.2">
      <c r="A372">
        <v>0.68634033203125</v>
      </c>
      <c r="B372">
        <v>7.2907316674417304</v>
      </c>
      <c r="C372">
        <v>13.290731667441699</v>
      </c>
    </row>
    <row r="373" spans="1:3" x14ac:dyDescent="0.2">
      <c r="A373">
        <v>0.7451171875</v>
      </c>
      <c r="B373">
        <v>7.7498752088761096</v>
      </c>
      <c r="C373">
        <v>13.7498752088761</v>
      </c>
    </row>
    <row r="374" spans="1:3" x14ac:dyDescent="0.2">
      <c r="A374">
        <v>0.95208740234375</v>
      </c>
      <c r="B374">
        <v>3.7507913618532398</v>
      </c>
      <c r="C374">
        <v>9.7507913618532402</v>
      </c>
    </row>
    <row r="375" spans="1:3" x14ac:dyDescent="0.2">
      <c r="A375">
        <v>0.88092041015625</v>
      </c>
      <c r="B375">
        <v>4.16534563472353</v>
      </c>
      <c r="C375">
        <v>42.165345634723501</v>
      </c>
    </row>
    <row r="376" spans="1:3" x14ac:dyDescent="0.2">
      <c r="A376">
        <v>0.6834716796875</v>
      </c>
      <c r="B376">
        <v>8.8570481235466492</v>
      </c>
      <c r="C376">
        <v>78.857048123546605</v>
      </c>
    </row>
    <row r="377" spans="1:3" x14ac:dyDescent="0.2">
      <c r="A377">
        <v>0.5919189453125</v>
      </c>
      <c r="B377">
        <v>11.9311856426578</v>
      </c>
      <c r="C377">
        <v>91.931185642657795</v>
      </c>
    </row>
    <row r="378" spans="1:3" x14ac:dyDescent="0.2">
      <c r="A378">
        <v>0.2620849609375</v>
      </c>
      <c r="B378">
        <v>11.9311856426578</v>
      </c>
      <c r="C378">
        <v>106</v>
      </c>
    </row>
    <row r="379" spans="1:3" x14ac:dyDescent="0.2">
      <c r="A379">
        <v>0.53515625</v>
      </c>
      <c r="B379">
        <v>9.8018660825531096</v>
      </c>
      <c r="C379">
        <v>47.801866082553097</v>
      </c>
    </row>
    <row r="380" spans="1:3" x14ac:dyDescent="0.2">
      <c r="A380">
        <v>0.7564697265625</v>
      </c>
      <c r="B380">
        <v>2.5894252183937998</v>
      </c>
      <c r="C380">
        <v>40.589425218393799</v>
      </c>
    </row>
    <row r="381" spans="1:3" x14ac:dyDescent="0.2">
      <c r="A381">
        <v>0.99517822265625</v>
      </c>
      <c r="B381">
        <v>4.87180849870757</v>
      </c>
      <c r="C381">
        <v>10.8718084987075</v>
      </c>
    </row>
    <row r="382" spans="1:3" x14ac:dyDescent="0.2">
      <c r="A382">
        <v>0.777587890625</v>
      </c>
      <c r="B382">
        <v>8.3971295913311792</v>
      </c>
      <c r="C382">
        <v>14.397129591331099</v>
      </c>
    </row>
    <row r="383" spans="1:3" x14ac:dyDescent="0.2">
      <c r="A383">
        <v>0.56298828125</v>
      </c>
      <c r="B383">
        <v>20.521235763187999</v>
      </c>
      <c r="C383">
        <v>78.521235763188002</v>
      </c>
    </row>
    <row r="384" spans="1:3" x14ac:dyDescent="0.2">
      <c r="A384">
        <v>0.65863037109375</v>
      </c>
      <c r="B384">
        <v>0.41732968772089102</v>
      </c>
      <c r="C384">
        <v>6.4173296877208896</v>
      </c>
    </row>
    <row r="385" spans="1:3" x14ac:dyDescent="0.2">
      <c r="A385">
        <v>0.66375732421875</v>
      </c>
      <c r="B385">
        <v>8.8677781491705598</v>
      </c>
      <c r="C385">
        <v>88.867778149170505</v>
      </c>
    </row>
    <row r="386" spans="1:3" x14ac:dyDescent="0.2">
      <c r="A386">
        <v>0.94622802734375</v>
      </c>
      <c r="B386">
        <v>5.9066553568717799</v>
      </c>
      <c r="C386">
        <v>63.906655356871703</v>
      </c>
    </row>
    <row r="387" spans="1:3" x14ac:dyDescent="0.2">
      <c r="A387">
        <v>0.802001953125</v>
      </c>
      <c r="B387">
        <v>11.1384265565005</v>
      </c>
      <c r="C387">
        <v>59.138426556500498</v>
      </c>
    </row>
    <row r="388" spans="1:3" x14ac:dyDescent="0.2">
      <c r="A388">
        <v>0.7791748046875</v>
      </c>
      <c r="B388">
        <v>4.2966425332982103</v>
      </c>
      <c r="C388">
        <v>42.296642533298197</v>
      </c>
    </row>
    <row r="389" spans="1:3" x14ac:dyDescent="0.2">
      <c r="A389">
        <v>0.59320068359375</v>
      </c>
      <c r="B389">
        <v>0.42795117162859903</v>
      </c>
      <c r="C389">
        <v>48.4279511716286</v>
      </c>
    </row>
    <row r="390" spans="1:3" x14ac:dyDescent="0.2">
      <c r="A390">
        <v>0.5313720703125</v>
      </c>
      <c r="B390">
        <v>10.393068437784301</v>
      </c>
      <c r="C390">
        <v>16.393068437784301</v>
      </c>
    </row>
    <row r="391" spans="1:3" x14ac:dyDescent="0.2">
      <c r="A391">
        <v>0.54937744140625</v>
      </c>
      <c r="B391">
        <v>7.5792463587172501</v>
      </c>
      <c r="C391">
        <v>13.579246358717199</v>
      </c>
    </row>
    <row r="392" spans="1:3" x14ac:dyDescent="0.2">
      <c r="A392">
        <v>0.58270263671875</v>
      </c>
      <c r="B392">
        <v>7.8904084932151903</v>
      </c>
      <c r="C392">
        <v>45.890408493215197</v>
      </c>
    </row>
    <row r="393" spans="1:3" x14ac:dyDescent="0.2">
      <c r="A393">
        <v>0.5452880859375</v>
      </c>
      <c r="B393">
        <v>20.476768809829601</v>
      </c>
      <c r="C393">
        <v>26.476768809829601</v>
      </c>
    </row>
    <row r="394" spans="1:3" x14ac:dyDescent="0.2">
      <c r="A394">
        <v>0.76348876953125</v>
      </c>
      <c r="B394">
        <v>14.5955537653657</v>
      </c>
      <c r="C394">
        <v>20.5955537653657</v>
      </c>
    </row>
    <row r="395" spans="1:3" x14ac:dyDescent="0.2">
      <c r="A395">
        <v>0.8834228515625</v>
      </c>
      <c r="B395">
        <v>2.4880671497318199</v>
      </c>
      <c r="C395">
        <v>28.488067149731801</v>
      </c>
    </row>
    <row r="396" spans="1:3" x14ac:dyDescent="0.2">
      <c r="A396">
        <v>0.95623779296875</v>
      </c>
      <c r="B396">
        <v>5.4240307501341896</v>
      </c>
      <c r="C396">
        <v>53.424030750134101</v>
      </c>
    </row>
    <row r="397" spans="1:3" x14ac:dyDescent="0.2">
      <c r="A397">
        <v>0.6082763671875</v>
      </c>
      <c r="B397">
        <v>0.92303445709369902</v>
      </c>
      <c r="C397">
        <v>6.9230344570936904</v>
      </c>
    </row>
    <row r="398" spans="1:3" x14ac:dyDescent="0.2">
      <c r="A398">
        <v>0.67999267578125</v>
      </c>
      <c r="B398">
        <v>4.7026301997814004</v>
      </c>
      <c r="C398">
        <v>10.7026301997814</v>
      </c>
    </row>
    <row r="399" spans="1:3" x14ac:dyDescent="0.2">
      <c r="A399">
        <v>0.89306640625</v>
      </c>
      <c r="B399">
        <v>4.2924522233472997</v>
      </c>
      <c r="C399">
        <v>10.292452223347301</v>
      </c>
    </row>
    <row r="400" spans="1:3" x14ac:dyDescent="0.2">
      <c r="A400">
        <v>0.96527099609375</v>
      </c>
      <c r="B400">
        <v>15.847527919230201</v>
      </c>
      <c r="C400">
        <v>21.847527919230199</v>
      </c>
    </row>
    <row r="401" spans="1:3" x14ac:dyDescent="0.2">
      <c r="A401">
        <v>0.7823486328125</v>
      </c>
      <c r="B401">
        <v>3.5942445648765503E-2</v>
      </c>
      <c r="C401">
        <v>6.03594244564876</v>
      </c>
    </row>
    <row r="402" spans="1:3" x14ac:dyDescent="0.2">
      <c r="A402">
        <v>0.877685546875</v>
      </c>
      <c r="B402">
        <v>6.99323967235875</v>
      </c>
      <c r="C402">
        <v>22.993239672358701</v>
      </c>
    </row>
    <row r="403" spans="1:3" x14ac:dyDescent="0.2">
      <c r="A403">
        <v>0.93914794921875</v>
      </c>
      <c r="B403">
        <v>9.9519931448685899</v>
      </c>
      <c r="C403">
        <v>15.951993144868499</v>
      </c>
    </row>
    <row r="404" spans="1:3" x14ac:dyDescent="0.2">
      <c r="A404">
        <v>0.69036865234375</v>
      </c>
      <c r="B404">
        <v>54.2673237305657</v>
      </c>
      <c r="C404">
        <v>106</v>
      </c>
    </row>
    <row r="405" spans="1:3" x14ac:dyDescent="0.2">
      <c r="A405">
        <v>0.7281494140625</v>
      </c>
      <c r="B405">
        <v>19.4970280294472</v>
      </c>
      <c r="C405">
        <v>25.4970280294472</v>
      </c>
    </row>
    <row r="406" spans="1:3" x14ac:dyDescent="0.2">
      <c r="A406">
        <v>0.96295166015625</v>
      </c>
      <c r="B406">
        <v>1.2917011386609201</v>
      </c>
      <c r="C406">
        <v>7.2917011386609198</v>
      </c>
    </row>
    <row r="407" spans="1:3" x14ac:dyDescent="0.2">
      <c r="A407">
        <v>0.913330078125</v>
      </c>
      <c r="B407">
        <v>7.8227470899471303</v>
      </c>
      <c r="C407">
        <v>13.8227470899471</v>
      </c>
    </row>
    <row r="408" spans="1:3" x14ac:dyDescent="0.2">
      <c r="A408">
        <v>0.6248779296875</v>
      </c>
      <c r="B408">
        <v>2.5948793507504</v>
      </c>
      <c r="C408">
        <v>18.5948793507504</v>
      </c>
    </row>
    <row r="409" spans="1:3" x14ac:dyDescent="0.2">
      <c r="A409">
        <v>0.77484130859375</v>
      </c>
      <c r="B409">
        <v>18.539662478055799</v>
      </c>
      <c r="C409">
        <v>66.539662478055803</v>
      </c>
    </row>
    <row r="410" spans="1:3" x14ac:dyDescent="0.2">
      <c r="A410">
        <v>0.73309326171875</v>
      </c>
      <c r="B410">
        <v>24.2921626544743</v>
      </c>
      <c r="C410">
        <v>104.292162654474</v>
      </c>
    </row>
    <row r="411" spans="1:3" x14ac:dyDescent="0.2">
      <c r="A411">
        <v>0.5784912109375</v>
      </c>
      <c r="B411">
        <v>23.5138886218168</v>
      </c>
      <c r="C411">
        <v>29.5138886218168</v>
      </c>
    </row>
    <row r="412" spans="1:3" x14ac:dyDescent="0.2">
      <c r="A412">
        <v>0.83575439453125</v>
      </c>
      <c r="B412">
        <v>6.3621203144839997</v>
      </c>
      <c r="C412">
        <v>12.362120314484001</v>
      </c>
    </row>
    <row r="413" spans="1:3" x14ac:dyDescent="0.2">
      <c r="A413">
        <v>0.5703125</v>
      </c>
      <c r="B413">
        <v>3.7177982146373401</v>
      </c>
      <c r="C413">
        <v>9.7177982146373392</v>
      </c>
    </row>
    <row r="414" spans="1:3" x14ac:dyDescent="0.2">
      <c r="A414">
        <v>0.71868896484375</v>
      </c>
      <c r="B414">
        <v>4.3102711548653403</v>
      </c>
      <c r="C414">
        <v>10.310271154865299</v>
      </c>
    </row>
    <row r="415" spans="1:3" x14ac:dyDescent="0.2">
      <c r="A415">
        <v>0.7603759765625</v>
      </c>
      <c r="B415">
        <v>8.7214534604994505</v>
      </c>
      <c r="C415">
        <v>14.721453460499401</v>
      </c>
    </row>
    <row r="416" spans="1:3" x14ac:dyDescent="0.2">
      <c r="A416">
        <v>0.82720947265625</v>
      </c>
      <c r="B416">
        <v>14.5585357411511</v>
      </c>
      <c r="C416">
        <v>20.5585357411511</v>
      </c>
    </row>
    <row r="417" spans="1:3" x14ac:dyDescent="0.2">
      <c r="A417">
        <v>0.54412841796875</v>
      </c>
      <c r="B417">
        <v>9.7093928025881802</v>
      </c>
      <c r="C417">
        <v>25.709392802588098</v>
      </c>
    </row>
    <row r="418" spans="1:3" x14ac:dyDescent="0.2">
      <c r="A418">
        <v>0.68975830078125</v>
      </c>
      <c r="B418">
        <v>3.6759377070718902</v>
      </c>
      <c r="C418">
        <v>41.675937707071803</v>
      </c>
    </row>
    <row r="419" spans="1:3" x14ac:dyDescent="0.2">
      <c r="A419">
        <v>0.97314453125</v>
      </c>
      <c r="B419">
        <v>1.6813188395659699</v>
      </c>
      <c r="C419">
        <v>7.6813188395659697</v>
      </c>
    </row>
    <row r="420" spans="1:3" x14ac:dyDescent="0.2">
      <c r="A420">
        <v>0.73590087890625</v>
      </c>
      <c r="B420">
        <v>6.6060260395444299</v>
      </c>
      <c r="C420">
        <v>54.606026039544403</v>
      </c>
    </row>
    <row r="421" spans="1:3" x14ac:dyDescent="0.2">
      <c r="A421">
        <v>0.8763427734375</v>
      </c>
      <c r="B421">
        <v>17.0225666251139</v>
      </c>
      <c r="C421">
        <v>65.022566625113896</v>
      </c>
    </row>
    <row r="422" spans="1:3" x14ac:dyDescent="0.2">
      <c r="A422">
        <v>0.7978515625</v>
      </c>
      <c r="B422">
        <v>19.752596724445699</v>
      </c>
      <c r="C422">
        <v>57.752596724445702</v>
      </c>
    </row>
    <row r="423" spans="1:3" x14ac:dyDescent="0.2">
      <c r="A423">
        <v>0.9801025390625</v>
      </c>
      <c r="B423">
        <v>3.2315690766055298</v>
      </c>
      <c r="C423">
        <v>19.231569076605499</v>
      </c>
    </row>
    <row r="424" spans="1:3" x14ac:dyDescent="0.2">
      <c r="A424">
        <v>0.62896728515625</v>
      </c>
      <c r="B424">
        <v>3.9090132635219699</v>
      </c>
      <c r="C424">
        <v>9.9090132635219703</v>
      </c>
    </row>
    <row r="425" spans="1:3" x14ac:dyDescent="0.2">
      <c r="A425">
        <v>0.774658203125</v>
      </c>
      <c r="B425">
        <v>12.4903685076378</v>
      </c>
      <c r="C425">
        <v>18.4903685076378</v>
      </c>
    </row>
    <row r="426" spans="1:3" x14ac:dyDescent="0.2">
      <c r="A426">
        <v>0.54443359375</v>
      </c>
      <c r="B426">
        <v>6.0561599531927204</v>
      </c>
      <c r="C426">
        <v>86.056159953192704</v>
      </c>
    </row>
    <row r="427" spans="1:3" x14ac:dyDescent="0.2">
      <c r="A427">
        <v>0.6602783203125</v>
      </c>
      <c r="B427">
        <v>2.23394315287777</v>
      </c>
      <c r="C427">
        <v>40.2339431528777</v>
      </c>
    </row>
    <row r="428" spans="1:3" x14ac:dyDescent="0.2">
      <c r="A428">
        <v>0.669677734375</v>
      </c>
      <c r="B428">
        <v>23.592098761799001</v>
      </c>
      <c r="C428">
        <v>39.592098761799001</v>
      </c>
    </row>
    <row r="429" spans="1:3" x14ac:dyDescent="0.2">
      <c r="A429">
        <v>0.63348388671875</v>
      </c>
      <c r="B429">
        <v>0.54004806912686698</v>
      </c>
      <c r="C429">
        <v>6.5400480691268603</v>
      </c>
    </row>
    <row r="430" spans="1:3" x14ac:dyDescent="0.2">
      <c r="A430">
        <v>0.65802001953125</v>
      </c>
      <c r="B430">
        <v>2.3518649706992298</v>
      </c>
      <c r="C430">
        <v>40.351864970699197</v>
      </c>
    </row>
    <row r="431" spans="1:3" x14ac:dyDescent="0.2">
      <c r="A431">
        <v>0.712890625</v>
      </c>
      <c r="B431">
        <v>6.1609534705054498</v>
      </c>
      <c r="C431">
        <v>12.160953470505399</v>
      </c>
    </row>
    <row r="432" spans="1:3" x14ac:dyDescent="0.2">
      <c r="A432">
        <v>0.236572265625</v>
      </c>
      <c r="B432">
        <v>6.1609534705054498</v>
      </c>
      <c r="C432">
        <v>106</v>
      </c>
    </row>
    <row r="433" spans="1:3" x14ac:dyDescent="0.2">
      <c r="A433">
        <v>0.88201904296875</v>
      </c>
      <c r="B433">
        <v>7.3906534780471098</v>
      </c>
      <c r="C433">
        <v>13.390653478047099</v>
      </c>
    </row>
    <row r="434" spans="1:3" x14ac:dyDescent="0.2">
      <c r="A434">
        <v>0.7996826171875</v>
      </c>
      <c r="B434">
        <v>0.77836913957173903</v>
      </c>
      <c r="C434">
        <v>6.7783691395717298</v>
      </c>
    </row>
    <row r="435" spans="1:3" x14ac:dyDescent="0.2">
      <c r="A435">
        <v>0.80322265625</v>
      </c>
      <c r="B435">
        <v>6.7903300036888004</v>
      </c>
      <c r="C435">
        <v>44.790330003688801</v>
      </c>
    </row>
    <row r="436" spans="1:3" x14ac:dyDescent="0.2">
      <c r="A436">
        <v>0.82855224609375</v>
      </c>
      <c r="B436">
        <v>18.478018506880801</v>
      </c>
      <c r="C436">
        <v>24.478018506880801</v>
      </c>
    </row>
    <row r="437" spans="1:3" x14ac:dyDescent="0.2">
      <c r="A437">
        <v>0.6612548828125</v>
      </c>
      <c r="B437">
        <v>8.5335621039540097</v>
      </c>
      <c r="C437">
        <v>14.533562103954001</v>
      </c>
    </row>
    <row r="438" spans="1:3" x14ac:dyDescent="0.2">
      <c r="A438">
        <v>0.975341796875</v>
      </c>
      <c r="B438">
        <v>17.388139501043199</v>
      </c>
      <c r="C438">
        <v>55.388139501043199</v>
      </c>
    </row>
    <row r="439" spans="1:3" x14ac:dyDescent="0.2">
      <c r="A439">
        <v>0.73992919921875</v>
      </c>
      <c r="B439">
        <v>4.1394645911752699</v>
      </c>
      <c r="C439">
        <v>10.1394645911752</v>
      </c>
    </row>
    <row r="440" spans="1:3" x14ac:dyDescent="0.2">
      <c r="A440">
        <v>0.97540283203125</v>
      </c>
      <c r="B440">
        <v>1.7328265005346499</v>
      </c>
      <c r="C440">
        <v>17.7328265005346</v>
      </c>
    </row>
    <row r="441" spans="1:3" x14ac:dyDescent="0.2">
      <c r="A441">
        <v>0.9820556640625</v>
      </c>
      <c r="B441">
        <v>0.86700568335805805</v>
      </c>
      <c r="C441">
        <v>70.867005683358002</v>
      </c>
    </row>
    <row r="442" spans="1:3" x14ac:dyDescent="0.2">
      <c r="A442">
        <v>0.70721435546875</v>
      </c>
      <c r="B442">
        <v>7.4763827081206902</v>
      </c>
      <c r="C442">
        <v>55.476382708120603</v>
      </c>
    </row>
    <row r="443" spans="1:3" x14ac:dyDescent="0.2">
      <c r="A443">
        <v>0.5662841796875</v>
      </c>
      <c r="B443">
        <v>4.6162367380671503</v>
      </c>
      <c r="C443">
        <v>10.6162367380671</v>
      </c>
    </row>
    <row r="444" spans="1:3" x14ac:dyDescent="0.2">
      <c r="A444">
        <v>0.73565673828125</v>
      </c>
      <c r="B444">
        <v>3.6243119138691799</v>
      </c>
      <c r="C444">
        <v>9.6243119138691799</v>
      </c>
    </row>
    <row r="445" spans="1:3" x14ac:dyDescent="0.2">
      <c r="A445">
        <v>0.74951171875</v>
      </c>
      <c r="B445">
        <v>2.7486102926441198</v>
      </c>
      <c r="C445">
        <v>8.7486102926441198</v>
      </c>
    </row>
    <row r="446" spans="1:3" x14ac:dyDescent="0.2">
      <c r="A446">
        <v>0.8497314453125</v>
      </c>
      <c r="B446">
        <v>7.6358534935448796</v>
      </c>
      <c r="C446">
        <v>45.635853493544801</v>
      </c>
    </row>
    <row r="447" spans="1:3" x14ac:dyDescent="0.2">
      <c r="A447">
        <v>0.968505859375</v>
      </c>
      <c r="B447">
        <v>0.96661756043825697</v>
      </c>
      <c r="C447">
        <v>38.966617560438202</v>
      </c>
    </row>
    <row r="448" spans="1:3" x14ac:dyDescent="0.2">
      <c r="A448">
        <v>0.60546875</v>
      </c>
      <c r="B448">
        <v>44.978677900492798</v>
      </c>
      <c r="C448">
        <v>128</v>
      </c>
    </row>
    <row r="449" spans="1:3" x14ac:dyDescent="0.2">
      <c r="A449">
        <v>0.7642822265625</v>
      </c>
      <c r="B449">
        <v>1.2501743796617499</v>
      </c>
      <c r="C449">
        <v>39.250174379661701</v>
      </c>
    </row>
    <row r="450" spans="1:3" x14ac:dyDescent="0.2">
      <c r="A450">
        <v>0.65924072265625</v>
      </c>
      <c r="B450">
        <v>1.6493435033479</v>
      </c>
      <c r="C450">
        <v>7.6493435033479003</v>
      </c>
    </row>
    <row r="451" spans="1:3" x14ac:dyDescent="0.2">
      <c r="A451">
        <v>0.96990966796875</v>
      </c>
      <c r="B451">
        <v>1.1998836476796899</v>
      </c>
      <c r="C451">
        <v>39.199883647679698</v>
      </c>
    </row>
    <row r="452" spans="1:3" x14ac:dyDescent="0.2">
      <c r="A452">
        <v>0.5203857421875</v>
      </c>
      <c r="B452">
        <v>7.1171831981199603</v>
      </c>
      <c r="C452">
        <v>13.1171831981199</v>
      </c>
    </row>
    <row r="453" spans="1:3" x14ac:dyDescent="0.2">
      <c r="A453">
        <v>0.95928955078125</v>
      </c>
      <c r="B453">
        <v>12.970644154629101</v>
      </c>
      <c r="C453">
        <v>18.970644154629099</v>
      </c>
    </row>
    <row r="454" spans="1:3" x14ac:dyDescent="0.2">
      <c r="A454">
        <v>0.44293212890625</v>
      </c>
      <c r="B454">
        <v>12.970644154629101</v>
      </c>
      <c r="C454">
        <v>128</v>
      </c>
    </row>
    <row r="455" spans="1:3" x14ac:dyDescent="0.2">
      <c r="A455">
        <v>0.649169921875</v>
      </c>
      <c r="B455">
        <v>0.42643324107189801</v>
      </c>
      <c r="C455">
        <v>6.4264332410718898</v>
      </c>
    </row>
    <row r="456" spans="1:3" x14ac:dyDescent="0.2">
      <c r="A456">
        <v>0.9427490234375</v>
      </c>
      <c r="B456">
        <v>6.7119109555325398</v>
      </c>
      <c r="C456">
        <v>44.711910955532502</v>
      </c>
    </row>
    <row r="457" spans="1:3" x14ac:dyDescent="0.2">
      <c r="A457">
        <v>0.5830078125</v>
      </c>
      <c r="B457">
        <v>13.675225727470499</v>
      </c>
      <c r="C457">
        <v>51.675225727470497</v>
      </c>
    </row>
    <row r="458" spans="1:3" x14ac:dyDescent="0.2">
      <c r="A458">
        <v>0.7340087890625</v>
      </c>
      <c r="B458">
        <v>7.5861353881274196</v>
      </c>
      <c r="C458">
        <v>45.586135388127403</v>
      </c>
    </row>
    <row r="459" spans="1:3" x14ac:dyDescent="0.2">
      <c r="A459">
        <v>0.747314453125</v>
      </c>
      <c r="B459">
        <v>5.3437321998643599</v>
      </c>
      <c r="C459">
        <v>43.343732199864299</v>
      </c>
    </row>
    <row r="460" spans="1:3" x14ac:dyDescent="0.2">
      <c r="A460">
        <v>0.67010498046875</v>
      </c>
      <c r="B460">
        <v>18.670849055011299</v>
      </c>
      <c r="C460">
        <v>24.670849055011299</v>
      </c>
    </row>
    <row r="461" spans="1:3" x14ac:dyDescent="0.2">
      <c r="A461">
        <v>0.6619873046875</v>
      </c>
      <c r="B461">
        <v>16.0244081368972</v>
      </c>
      <c r="C461">
        <v>22.0244081368972</v>
      </c>
    </row>
    <row r="462" spans="1:3" x14ac:dyDescent="0.2">
      <c r="A462">
        <v>0.70458984375</v>
      </c>
      <c r="B462">
        <v>21.623315778753401</v>
      </c>
      <c r="C462">
        <v>37.623315778753401</v>
      </c>
    </row>
    <row r="463" spans="1:3" x14ac:dyDescent="0.2">
      <c r="A463">
        <v>0.81976318359375</v>
      </c>
      <c r="B463">
        <v>13.098685879424</v>
      </c>
      <c r="C463">
        <v>19.098685879424</v>
      </c>
    </row>
    <row r="464" spans="1:3" x14ac:dyDescent="0.2">
      <c r="A464">
        <v>0.68426513671875</v>
      </c>
      <c r="B464">
        <v>13.6935533369897</v>
      </c>
      <c r="C464">
        <v>93.693553336989694</v>
      </c>
    </row>
    <row r="465" spans="1:3" x14ac:dyDescent="0.2">
      <c r="A465">
        <v>0.55255126953125</v>
      </c>
      <c r="B465">
        <v>0.90406586986008997</v>
      </c>
      <c r="C465">
        <v>16.904065869859998</v>
      </c>
    </row>
    <row r="466" spans="1:3" x14ac:dyDescent="0.2">
      <c r="A466">
        <v>0.8912353515625</v>
      </c>
      <c r="B466">
        <v>8.6143704901301295</v>
      </c>
      <c r="C466">
        <v>56.614370490130099</v>
      </c>
    </row>
    <row r="467" spans="1:3" x14ac:dyDescent="0.2">
      <c r="A467">
        <v>0.70025634765625</v>
      </c>
      <c r="B467">
        <v>22.1589568907604</v>
      </c>
      <c r="C467">
        <v>28.1589568907604</v>
      </c>
    </row>
    <row r="468" spans="1:3" x14ac:dyDescent="0.2">
      <c r="A468">
        <v>0.959228515625</v>
      </c>
      <c r="B468">
        <v>10.221896311336501</v>
      </c>
      <c r="C468">
        <v>16.221896311336501</v>
      </c>
    </row>
    <row r="469" spans="1:3" x14ac:dyDescent="0.2">
      <c r="A469">
        <v>0.80780029296875</v>
      </c>
      <c r="B469">
        <v>8.1678279025762706</v>
      </c>
      <c r="C469">
        <v>14.1678279025762</v>
      </c>
    </row>
    <row r="470" spans="1:3" x14ac:dyDescent="0.2">
      <c r="A470">
        <v>0.9910888671875</v>
      </c>
      <c r="B470">
        <v>7.5187928303577598</v>
      </c>
      <c r="C470">
        <v>13.5187928303577</v>
      </c>
    </row>
    <row r="471" spans="1:3" x14ac:dyDescent="0.2">
      <c r="A471">
        <v>0.71337890625</v>
      </c>
      <c r="B471">
        <v>2.0901133231503102</v>
      </c>
      <c r="C471">
        <v>40.090113323150298</v>
      </c>
    </row>
    <row r="472" spans="1:3" x14ac:dyDescent="0.2">
      <c r="A472">
        <v>0.69183349609375</v>
      </c>
      <c r="B472">
        <v>7.7988748686285598</v>
      </c>
      <c r="C472">
        <v>13.7988748686285</v>
      </c>
    </row>
    <row r="473" spans="1:3" x14ac:dyDescent="0.2">
      <c r="A473">
        <v>0.5401611328125</v>
      </c>
      <c r="B473">
        <v>6.3509245431851697</v>
      </c>
      <c r="C473">
        <v>12.3509245431851</v>
      </c>
    </row>
    <row r="474" spans="1:3" x14ac:dyDescent="0.2">
      <c r="A474">
        <v>0.54071044921875</v>
      </c>
      <c r="B474">
        <v>1.0911033157291901</v>
      </c>
      <c r="C474">
        <v>49.0911033157291</v>
      </c>
    </row>
    <row r="475" spans="1:3" x14ac:dyDescent="0.2">
      <c r="A475">
        <v>0.6009521484375</v>
      </c>
      <c r="B475">
        <v>16.869238721759402</v>
      </c>
      <c r="C475">
        <v>22.869238721759402</v>
      </c>
    </row>
    <row r="476" spans="1:3" x14ac:dyDescent="0.2">
      <c r="A476">
        <v>0.61993408203125</v>
      </c>
      <c r="B476">
        <v>7.3203513391612098</v>
      </c>
      <c r="C476">
        <v>13.320351339161199</v>
      </c>
    </row>
    <row r="477" spans="1:3" x14ac:dyDescent="0.2">
      <c r="A477">
        <v>0.6005859375</v>
      </c>
      <c r="B477">
        <v>1.76502536182481</v>
      </c>
      <c r="C477">
        <v>7.7650253618248097</v>
      </c>
    </row>
    <row r="478" spans="1:3" x14ac:dyDescent="0.2">
      <c r="A478">
        <v>0.858642578125</v>
      </c>
      <c r="B478">
        <v>33.5077587310507</v>
      </c>
      <c r="C478">
        <v>84</v>
      </c>
    </row>
    <row r="479" spans="1:3" x14ac:dyDescent="0.2">
      <c r="A479">
        <v>0.5076904296875</v>
      </c>
      <c r="B479">
        <v>6.9500294123464101</v>
      </c>
      <c r="C479">
        <v>44.950029412346403</v>
      </c>
    </row>
    <row r="480" spans="1:3" x14ac:dyDescent="0.2">
      <c r="A480">
        <v>0.4786376953125</v>
      </c>
      <c r="B480">
        <v>6.9500294123464101</v>
      </c>
      <c r="C480">
        <v>106</v>
      </c>
    </row>
    <row r="481" spans="1:3" x14ac:dyDescent="0.2">
      <c r="A481">
        <v>0.816162109375</v>
      </c>
      <c r="B481">
        <v>10.187610573727101</v>
      </c>
      <c r="C481">
        <v>48.187610573727099</v>
      </c>
    </row>
    <row r="482" spans="1:3" x14ac:dyDescent="0.2">
      <c r="A482">
        <v>0.62481689453125</v>
      </c>
      <c r="B482">
        <v>10.5103132640126</v>
      </c>
      <c r="C482">
        <v>80.510313264012595</v>
      </c>
    </row>
    <row r="483" spans="1:3" x14ac:dyDescent="0.2">
      <c r="A483">
        <v>0.640625</v>
      </c>
      <c r="B483">
        <v>0.32591938074091598</v>
      </c>
      <c r="C483">
        <v>6.3259193807409098</v>
      </c>
    </row>
    <row r="484" spans="1:3" x14ac:dyDescent="0.2">
      <c r="A484">
        <v>0.7681884765625</v>
      </c>
      <c r="B484">
        <v>3.6819088466875498</v>
      </c>
      <c r="C484">
        <v>41.681908846687499</v>
      </c>
    </row>
    <row r="485" spans="1:3" x14ac:dyDescent="0.2">
      <c r="A485">
        <v>0.2117919921875</v>
      </c>
      <c r="B485">
        <v>3.6819088466875498</v>
      </c>
      <c r="C485">
        <v>128</v>
      </c>
    </row>
    <row r="486" spans="1:3" x14ac:dyDescent="0.2">
      <c r="A486">
        <v>0.79345703125</v>
      </c>
      <c r="B486">
        <v>10.517349324020699</v>
      </c>
      <c r="C486">
        <v>48.517349324020699</v>
      </c>
    </row>
    <row r="487" spans="1:3" x14ac:dyDescent="0.2">
      <c r="A487">
        <v>0.74847412109375</v>
      </c>
      <c r="B487">
        <v>4.7841928863395902</v>
      </c>
      <c r="C487">
        <v>10.7841928863395</v>
      </c>
    </row>
    <row r="488" spans="1:3" x14ac:dyDescent="0.2">
      <c r="A488">
        <v>0.6046142578125</v>
      </c>
      <c r="B488">
        <v>7.4668269371817404</v>
      </c>
      <c r="C488">
        <v>13.4668269371817</v>
      </c>
    </row>
    <row r="489" spans="1:3" x14ac:dyDescent="0.2">
      <c r="A489">
        <v>0.56610107421875</v>
      </c>
      <c r="B489">
        <v>4.1239627158764698</v>
      </c>
      <c r="C489">
        <v>52.123962715876402</v>
      </c>
    </row>
    <row r="490" spans="1:3" x14ac:dyDescent="0.2">
      <c r="A490">
        <v>0.56719970703125</v>
      </c>
      <c r="B490">
        <v>8.3647329585729793</v>
      </c>
      <c r="C490">
        <v>24.364732958572901</v>
      </c>
    </row>
    <row r="491" spans="1:3" x14ac:dyDescent="0.2">
      <c r="A491">
        <v>0.66107177734375</v>
      </c>
      <c r="B491">
        <v>2.0657283811645701</v>
      </c>
      <c r="C491">
        <v>40.065728381164497</v>
      </c>
    </row>
    <row r="492" spans="1:3" x14ac:dyDescent="0.2">
      <c r="A492">
        <v>0.79302978515625</v>
      </c>
      <c r="B492">
        <v>5.4286355084408902</v>
      </c>
      <c r="C492">
        <v>43.428635508440799</v>
      </c>
    </row>
    <row r="493" spans="1:3" x14ac:dyDescent="0.2">
      <c r="A493">
        <v>0.719970703125</v>
      </c>
      <c r="B493">
        <v>5.6599819809866396</v>
      </c>
      <c r="C493">
        <v>11.659981980986601</v>
      </c>
    </row>
    <row r="494" spans="1:3" x14ac:dyDescent="0.2">
      <c r="A494">
        <v>0.86474609375</v>
      </c>
      <c r="B494">
        <v>4.7580324617723004</v>
      </c>
      <c r="C494">
        <v>62.758032461772302</v>
      </c>
    </row>
    <row r="495" spans="1:3" x14ac:dyDescent="0.2">
      <c r="A495">
        <v>0.93304443359375</v>
      </c>
      <c r="B495">
        <v>12.6406313405821</v>
      </c>
      <c r="C495">
        <v>18.6406313405821</v>
      </c>
    </row>
    <row r="496" spans="1:3" x14ac:dyDescent="0.2">
      <c r="A496">
        <v>0.9180908203125</v>
      </c>
      <c r="B496">
        <v>21.4295501009275</v>
      </c>
      <c r="C496">
        <v>27.4295501009275</v>
      </c>
    </row>
    <row r="497" spans="1:3" x14ac:dyDescent="0.2">
      <c r="A497">
        <v>0.92047119140625</v>
      </c>
      <c r="B497">
        <v>5.0278057169884098</v>
      </c>
      <c r="C497">
        <v>11.0278057169884</v>
      </c>
    </row>
    <row r="498" spans="1:3" x14ac:dyDescent="0.2">
      <c r="A498">
        <v>0.73504638671875</v>
      </c>
      <c r="B498">
        <v>12.559005491711201</v>
      </c>
      <c r="C498">
        <v>50.559005491711197</v>
      </c>
    </row>
    <row r="499" spans="1:3" x14ac:dyDescent="0.2">
      <c r="A499">
        <v>0.9945068359375</v>
      </c>
      <c r="B499">
        <v>5.8886957625990304</v>
      </c>
      <c r="C499">
        <v>11.888695762598999</v>
      </c>
    </row>
    <row r="500" spans="1:3" x14ac:dyDescent="0.2">
      <c r="A500">
        <v>0.3951416015625</v>
      </c>
      <c r="B500">
        <v>43.005157306659399</v>
      </c>
      <c r="C500">
        <v>106</v>
      </c>
    </row>
  </sheetData>
  <mergeCells count="1">
    <mergeCell ref="J2:L2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Monte-Carlo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2020-10-21T23:56:39Z</dcterms:created>
  <dcterms:modified xsi:type="dcterms:W3CDTF">2020-10-22T05:04:23Z</dcterms:modified>
</cp:coreProperties>
</file>